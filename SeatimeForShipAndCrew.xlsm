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activeTab="2"/>
  </bookViews>
  <sheets>
    <sheet name="Overview" sheetId="1" r:id="rId1"/>
    <sheet name="Ship Activity" sheetId="26" r:id="rId2"/>
    <sheet name="Crew Leave" sheetId="27" r:id="rId3"/>
    <sheet name="2013 Report" sheetId="40" r:id="rId4"/>
    <sheet name="2010 Report" sheetId="39" r:id="rId5"/>
    <sheet name="2009 Report" sheetId="38" r:id="rId6"/>
    <sheet name="2008 Report" sheetId="37" r:id="rId7"/>
  </sheets>
  <functionGroups builtInGroupCount="17"/>
  <definedNames>
    <definedName name="Crew">Overview!$B$10:$B$20</definedName>
    <definedName name="CrewLeaveType">Overview!$H$10:$H$12</definedName>
    <definedName name="ShipActivity">Overview!$F$10:$F$14</definedName>
    <definedName name="ShipStatus">Overview!$F$10:$F$11</definedName>
  </definedNames>
  <calcPr calcId="145621"/>
</workbook>
</file>

<file path=xl/calcChain.xml><?xml version="1.0" encoding="utf-8"?>
<calcChain xmlns="http://schemas.openxmlformats.org/spreadsheetml/2006/main">
  <c r="M502" i="40" l="1"/>
  <c r="L502" i="40"/>
  <c r="K502" i="40"/>
  <c r="J502" i="40"/>
  <c r="I502" i="40"/>
  <c r="H502" i="40"/>
  <c r="G502" i="40"/>
  <c r="F502" i="40"/>
  <c r="E502" i="40"/>
  <c r="D502" i="40"/>
  <c r="C502" i="40"/>
  <c r="B502" i="40"/>
  <c r="M501" i="40"/>
  <c r="L501" i="40"/>
  <c r="K501" i="40"/>
  <c r="J501" i="40"/>
  <c r="I501" i="40"/>
  <c r="H501" i="40"/>
  <c r="G501" i="40"/>
  <c r="F501" i="40"/>
  <c r="E501" i="40"/>
  <c r="D501" i="40"/>
  <c r="C501" i="40"/>
  <c r="B501" i="40"/>
  <c r="M500" i="40"/>
  <c r="L500" i="40"/>
  <c r="K500" i="40"/>
  <c r="J500" i="40"/>
  <c r="I500" i="40"/>
  <c r="H500" i="40"/>
  <c r="G500" i="40"/>
  <c r="F500" i="40"/>
  <c r="E500" i="40"/>
  <c r="D500" i="40"/>
  <c r="C500" i="40"/>
  <c r="B500" i="40"/>
  <c r="M499" i="40"/>
  <c r="L499" i="40"/>
  <c r="K499" i="40"/>
  <c r="J499" i="40"/>
  <c r="I499" i="40"/>
  <c r="H499" i="40"/>
  <c r="G499" i="40"/>
  <c r="F499" i="40"/>
  <c r="E499" i="40"/>
  <c r="D499" i="40"/>
  <c r="C499" i="40"/>
  <c r="B499" i="40"/>
  <c r="M498" i="40"/>
  <c r="L498" i="40"/>
  <c r="K498" i="40"/>
  <c r="J498" i="40"/>
  <c r="I498" i="40"/>
  <c r="H498" i="40"/>
  <c r="G498" i="40"/>
  <c r="F498" i="40"/>
  <c r="E498" i="40"/>
  <c r="D498" i="40"/>
  <c r="C498" i="40"/>
  <c r="B498" i="40"/>
  <c r="M497" i="40"/>
  <c r="L497" i="40"/>
  <c r="K497" i="40"/>
  <c r="J497" i="40"/>
  <c r="I497" i="40"/>
  <c r="H497" i="40"/>
  <c r="G497" i="40"/>
  <c r="F497" i="40"/>
  <c r="E497" i="40"/>
  <c r="D497" i="40"/>
  <c r="C497" i="40"/>
  <c r="B497" i="40"/>
  <c r="M496" i="40"/>
  <c r="L496" i="40"/>
  <c r="K496" i="40"/>
  <c r="J496" i="40"/>
  <c r="I496" i="40"/>
  <c r="H496" i="40"/>
  <c r="G496" i="40"/>
  <c r="F496" i="40"/>
  <c r="E496" i="40"/>
  <c r="D496" i="40"/>
  <c r="C496" i="40"/>
  <c r="B496" i="40"/>
  <c r="M495" i="40"/>
  <c r="L495" i="40"/>
  <c r="K495" i="40"/>
  <c r="J495" i="40"/>
  <c r="I495" i="40"/>
  <c r="H495" i="40"/>
  <c r="G495" i="40"/>
  <c r="F495" i="40"/>
  <c r="E495" i="40"/>
  <c r="D495" i="40"/>
  <c r="C495" i="40"/>
  <c r="B495" i="40"/>
  <c r="M456" i="40"/>
  <c r="L456" i="40"/>
  <c r="K456" i="40"/>
  <c r="J456" i="40"/>
  <c r="I456" i="40"/>
  <c r="H456" i="40"/>
  <c r="G456" i="40"/>
  <c r="F456" i="40"/>
  <c r="E456" i="40"/>
  <c r="D456" i="40"/>
  <c r="C456" i="40"/>
  <c r="B456" i="40"/>
  <c r="M455" i="40"/>
  <c r="L455" i="40"/>
  <c r="K455" i="40"/>
  <c r="J455" i="40"/>
  <c r="I455" i="40"/>
  <c r="H455" i="40"/>
  <c r="G455" i="40"/>
  <c r="F455" i="40"/>
  <c r="E455" i="40"/>
  <c r="D455" i="40"/>
  <c r="C455" i="40"/>
  <c r="B455" i="40"/>
  <c r="M454" i="40"/>
  <c r="L454" i="40"/>
  <c r="K454" i="40"/>
  <c r="J454" i="40"/>
  <c r="I454" i="40"/>
  <c r="H454" i="40"/>
  <c r="G454" i="40"/>
  <c r="F454" i="40"/>
  <c r="E454" i="40"/>
  <c r="D454" i="40"/>
  <c r="C454" i="40"/>
  <c r="B454" i="40"/>
  <c r="M453" i="40"/>
  <c r="L453" i="40"/>
  <c r="K453" i="40"/>
  <c r="J453" i="40"/>
  <c r="I453" i="40"/>
  <c r="H453" i="40"/>
  <c r="G453" i="40"/>
  <c r="F453" i="40"/>
  <c r="E453" i="40"/>
  <c r="D453" i="40"/>
  <c r="C453" i="40"/>
  <c r="B453" i="40"/>
  <c r="M452" i="40"/>
  <c r="L452" i="40"/>
  <c r="K452" i="40"/>
  <c r="J452" i="40"/>
  <c r="I452" i="40"/>
  <c r="H452" i="40"/>
  <c r="G452" i="40"/>
  <c r="F452" i="40"/>
  <c r="E452" i="40"/>
  <c r="D452" i="40"/>
  <c r="C452" i="40"/>
  <c r="B452" i="40"/>
  <c r="M451" i="40"/>
  <c r="L451" i="40"/>
  <c r="K451" i="40"/>
  <c r="J451" i="40"/>
  <c r="I451" i="40"/>
  <c r="H451" i="40"/>
  <c r="G451" i="40"/>
  <c r="F451" i="40"/>
  <c r="E451" i="40"/>
  <c r="D451" i="40"/>
  <c r="C451" i="40"/>
  <c r="B451" i="40"/>
  <c r="M450" i="40"/>
  <c r="L450" i="40"/>
  <c r="K450" i="40"/>
  <c r="J450" i="40"/>
  <c r="I450" i="40"/>
  <c r="H450" i="40"/>
  <c r="G450" i="40"/>
  <c r="F450" i="40"/>
  <c r="E450" i="40"/>
  <c r="D450" i="40"/>
  <c r="C450" i="40"/>
  <c r="B450" i="40"/>
  <c r="M449" i="40"/>
  <c r="L449" i="40"/>
  <c r="K449" i="40"/>
  <c r="J449" i="40"/>
  <c r="I449" i="40"/>
  <c r="H449" i="40"/>
  <c r="G449" i="40"/>
  <c r="F449" i="40"/>
  <c r="E449" i="40"/>
  <c r="D449" i="40"/>
  <c r="C449" i="40"/>
  <c r="B449" i="40"/>
  <c r="M410" i="40"/>
  <c r="L410" i="40"/>
  <c r="K410" i="40"/>
  <c r="J410" i="40"/>
  <c r="I410" i="40"/>
  <c r="H410" i="40"/>
  <c r="G410" i="40"/>
  <c r="F410" i="40"/>
  <c r="E410" i="40"/>
  <c r="D410" i="40"/>
  <c r="C410" i="40"/>
  <c r="B410" i="40"/>
  <c r="M409" i="40"/>
  <c r="L409" i="40"/>
  <c r="K409" i="40"/>
  <c r="J409" i="40"/>
  <c r="I409" i="40"/>
  <c r="H409" i="40"/>
  <c r="G409" i="40"/>
  <c r="F409" i="40"/>
  <c r="E409" i="40"/>
  <c r="D409" i="40"/>
  <c r="C409" i="40"/>
  <c r="B409" i="40"/>
  <c r="M408" i="40"/>
  <c r="L408" i="40"/>
  <c r="K408" i="40"/>
  <c r="J408" i="40"/>
  <c r="I408" i="40"/>
  <c r="H408" i="40"/>
  <c r="G408" i="40"/>
  <c r="F408" i="40"/>
  <c r="E408" i="40"/>
  <c r="D408" i="40"/>
  <c r="C408" i="40"/>
  <c r="B408" i="40"/>
  <c r="M407" i="40"/>
  <c r="L407" i="40"/>
  <c r="K407" i="40"/>
  <c r="J407" i="40"/>
  <c r="I407" i="40"/>
  <c r="H407" i="40"/>
  <c r="G407" i="40"/>
  <c r="F407" i="40"/>
  <c r="E407" i="40"/>
  <c r="D407" i="40"/>
  <c r="C407" i="40"/>
  <c r="B407" i="40"/>
  <c r="M406" i="40"/>
  <c r="L406" i="40"/>
  <c r="K406" i="40"/>
  <c r="J406" i="40"/>
  <c r="I406" i="40"/>
  <c r="H406" i="40"/>
  <c r="G406" i="40"/>
  <c r="F406" i="40"/>
  <c r="E406" i="40"/>
  <c r="D406" i="40"/>
  <c r="C406" i="40"/>
  <c r="B406" i="40"/>
  <c r="M405" i="40"/>
  <c r="L405" i="40"/>
  <c r="K405" i="40"/>
  <c r="J405" i="40"/>
  <c r="I405" i="40"/>
  <c r="H405" i="40"/>
  <c r="G405" i="40"/>
  <c r="F405" i="40"/>
  <c r="E405" i="40"/>
  <c r="D405" i="40"/>
  <c r="C405" i="40"/>
  <c r="B405" i="40"/>
  <c r="M404" i="40"/>
  <c r="L404" i="40"/>
  <c r="K404" i="40"/>
  <c r="J404" i="40"/>
  <c r="I404" i="40"/>
  <c r="H404" i="40"/>
  <c r="G404" i="40"/>
  <c r="F404" i="40"/>
  <c r="E404" i="40"/>
  <c r="D404" i="40"/>
  <c r="C404" i="40"/>
  <c r="B404" i="40"/>
  <c r="M403" i="40"/>
  <c r="L403" i="40"/>
  <c r="K403" i="40"/>
  <c r="J403" i="40"/>
  <c r="I403" i="40"/>
  <c r="H403" i="40"/>
  <c r="G403" i="40"/>
  <c r="F403" i="40"/>
  <c r="E403" i="40"/>
  <c r="D403" i="40"/>
  <c r="C403" i="40"/>
  <c r="B403" i="40"/>
  <c r="M364" i="40"/>
  <c r="L364" i="40"/>
  <c r="K364" i="40"/>
  <c r="J364" i="40"/>
  <c r="I364" i="40"/>
  <c r="H364" i="40"/>
  <c r="G364" i="40"/>
  <c r="F364" i="40"/>
  <c r="E364" i="40"/>
  <c r="D364" i="40"/>
  <c r="C364" i="40"/>
  <c r="B364" i="40"/>
  <c r="M363" i="40"/>
  <c r="L363" i="40"/>
  <c r="K363" i="40"/>
  <c r="J363" i="40"/>
  <c r="I363" i="40"/>
  <c r="H363" i="40"/>
  <c r="G363" i="40"/>
  <c r="F363" i="40"/>
  <c r="E363" i="40"/>
  <c r="D363" i="40"/>
  <c r="C363" i="40"/>
  <c r="B363" i="40"/>
  <c r="M362" i="40"/>
  <c r="L362" i="40"/>
  <c r="K362" i="40"/>
  <c r="J362" i="40"/>
  <c r="I362" i="40"/>
  <c r="H362" i="40"/>
  <c r="G362" i="40"/>
  <c r="F362" i="40"/>
  <c r="E362" i="40"/>
  <c r="D362" i="40"/>
  <c r="C362" i="40"/>
  <c r="B362" i="40"/>
  <c r="M361" i="40"/>
  <c r="L361" i="40"/>
  <c r="K361" i="40"/>
  <c r="J361" i="40"/>
  <c r="I361" i="40"/>
  <c r="H361" i="40"/>
  <c r="G361" i="40"/>
  <c r="F361" i="40"/>
  <c r="E361" i="40"/>
  <c r="D361" i="40"/>
  <c r="C361" i="40"/>
  <c r="B361" i="40"/>
  <c r="M360" i="40"/>
  <c r="L360" i="40"/>
  <c r="K360" i="40"/>
  <c r="J360" i="40"/>
  <c r="I360" i="40"/>
  <c r="H360" i="40"/>
  <c r="G360" i="40"/>
  <c r="F360" i="40"/>
  <c r="E360" i="40"/>
  <c r="D360" i="40"/>
  <c r="C360" i="40"/>
  <c r="B360" i="40"/>
  <c r="M359" i="40"/>
  <c r="L359" i="40"/>
  <c r="K359" i="40"/>
  <c r="J359" i="40"/>
  <c r="I359" i="40"/>
  <c r="H359" i="40"/>
  <c r="G359" i="40"/>
  <c r="F359" i="40"/>
  <c r="E359" i="40"/>
  <c r="D359" i="40"/>
  <c r="C359" i="40"/>
  <c r="B359" i="40"/>
  <c r="M358" i="40"/>
  <c r="L358" i="40"/>
  <c r="K358" i="40"/>
  <c r="J358" i="40"/>
  <c r="I358" i="40"/>
  <c r="H358" i="40"/>
  <c r="G358" i="40"/>
  <c r="F358" i="40"/>
  <c r="E358" i="40"/>
  <c r="D358" i="40"/>
  <c r="C358" i="40"/>
  <c r="B358" i="40"/>
  <c r="M357" i="40"/>
  <c r="L357" i="40"/>
  <c r="K357" i="40"/>
  <c r="J357" i="40"/>
  <c r="I357" i="40"/>
  <c r="H357" i="40"/>
  <c r="G357" i="40"/>
  <c r="F357" i="40"/>
  <c r="E357" i="40"/>
  <c r="D357" i="40"/>
  <c r="C357" i="40"/>
  <c r="B357" i="40"/>
  <c r="M318" i="40"/>
  <c r="L318" i="40"/>
  <c r="K318" i="40"/>
  <c r="J318" i="40"/>
  <c r="I318" i="40"/>
  <c r="H318" i="40"/>
  <c r="G318" i="40"/>
  <c r="F318" i="40"/>
  <c r="E318" i="40"/>
  <c r="D318" i="40"/>
  <c r="C318" i="40"/>
  <c r="B318" i="40"/>
  <c r="M317" i="40"/>
  <c r="L317" i="40"/>
  <c r="K317" i="40"/>
  <c r="J317" i="40"/>
  <c r="I317" i="40"/>
  <c r="H317" i="40"/>
  <c r="G317" i="40"/>
  <c r="F317" i="40"/>
  <c r="E317" i="40"/>
  <c r="D317" i="40"/>
  <c r="C317" i="40"/>
  <c r="B317" i="40"/>
  <c r="M316" i="40"/>
  <c r="L316" i="40"/>
  <c r="K316" i="40"/>
  <c r="J316" i="40"/>
  <c r="I316" i="40"/>
  <c r="H316" i="40"/>
  <c r="G316" i="40"/>
  <c r="F316" i="40"/>
  <c r="E316" i="40"/>
  <c r="D316" i="40"/>
  <c r="C316" i="40"/>
  <c r="B316" i="40"/>
  <c r="M315" i="40"/>
  <c r="L315" i="40"/>
  <c r="K315" i="40"/>
  <c r="J315" i="40"/>
  <c r="I315" i="40"/>
  <c r="H315" i="40"/>
  <c r="G315" i="40"/>
  <c r="F315" i="40"/>
  <c r="E315" i="40"/>
  <c r="D315" i="40"/>
  <c r="C315" i="40"/>
  <c r="B315" i="40"/>
  <c r="M314" i="40"/>
  <c r="L314" i="40"/>
  <c r="K314" i="40"/>
  <c r="J314" i="40"/>
  <c r="I314" i="40"/>
  <c r="H314" i="40"/>
  <c r="G314" i="40"/>
  <c r="F314" i="40"/>
  <c r="E314" i="40"/>
  <c r="D314" i="40"/>
  <c r="C314" i="40"/>
  <c r="B314" i="40"/>
  <c r="M313" i="40"/>
  <c r="L313" i="40"/>
  <c r="K313" i="40"/>
  <c r="J313" i="40"/>
  <c r="I313" i="40"/>
  <c r="H313" i="40"/>
  <c r="G313" i="40"/>
  <c r="F313" i="40"/>
  <c r="E313" i="40"/>
  <c r="D313" i="40"/>
  <c r="C313" i="40"/>
  <c r="B313" i="40"/>
  <c r="M312" i="40"/>
  <c r="L312" i="40"/>
  <c r="K312" i="40"/>
  <c r="J312" i="40"/>
  <c r="I312" i="40"/>
  <c r="H312" i="40"/>
  <c r="G312" i="40"/>
  <c r="F312" i="40"/>
  <c r="E312" i="40"/>
  <c r="D312" i="40"/>
  <c r="C312" i="40"/>
  <c r="B312" i="40"/>
  <c r="M311" i="40"/>
  <c r="L311" i="40"/>
  <c r="K311" i="40"/>
  <c r="J311" i="40"/>
  <c r="I311" i="40"/>
  <c r="H311" i="40"/>
  <c r="G311" i="40"/>
  <c r="F311" i="40"/>
  <c r="E311" i="40"/>
  <c r="D311" i="40"/>
  <c r="C311" i="40"/>
  <c r="B311" i="40"/>
  <c r="M272" i="40"/>
  <c r="L272" i="40"/>
  <c r="K272" i="40"/>
  <c r="J272" i="40"/>
  <c r="I272" i="40"/>
  <c r="H272" i="40"/>
  <c r="G272" i="40"/>
  <c r="F272" i="40"/>
  <c r="E272" i="40"/>
  <c r="D272" i="40"/>
  <c r="C272" i="40"/>
  <c r="B272" i="40"/>
  <c r="M271" i="40"/>
  <c r="L271" i="40"/>
  <c r="K271" i="40"/>
  <c r="J271" i="40"/>
  <c r="I271" i="40"/>
  <c r="H271" i="40"/>
  <c r="G271" i="40"/>
  <c r="F271" i="40"/>
  <c r="E271" i="40"/>
  <c r="D271" i="40"/>
  <c r="C271" i="40"/>
  <c r="B271" i="40"/>
  <c r="M270" i="40"/>
  <c r="L270" i="40"/>
  <c r="K270" i="40"/>
  <c r="J270" i="40"/>
  <c r="I270" i="40"/>
  <c r="H270" i="40"/>
  <c r="G270" i="40"/>
  <c r="F270" i="40"/>
  <c r="E270" i="40"/>
  <c r="D270" i="40"/>
  <c r="C270" i="40"/>
  <c r="B270" i="40"/>
  <c r="M269" i="40"/>
  <c r="L269" i="40"/>
  <c r="K269" i="40"/>
  <c r="J269" i="40"/>
  <c r="I269" i="40"/>
  <c r="H269" i="40"/>
  <c r="G269" i="40"/>
  <c r="F269" i="40"/>
  <c r="E269" i="40"/>
  <c r="D269" i="40"/>
  <c r="C269" i="40"/>
  <c r="B269" i="40"/>
  <c r="M268" i="40"/>
  <c r="L268" i="40"/>
  <c r="K268" i="40"/>
  <c r="J268" i="40"/>
  <c r="I268" i="40"/>
  <c r="H268" i="40"/>
  <c r="G268" i="40"/>
  <c r="F268" i="40"/>
  <c r="E268" i="40"/>
  <c r="D268" i="40"/>
  <c r="C268" i="40"/>
  <c r="B268" i="40"/>
  <c r="M267" i="40"/>
  <c r="L267" i="40"/>
  <c r="K267" i="40"/>
  <c r="J267" i="40"/>
  <c r="I267" i="40"/>
  <c r="H267" i="40"/>
  <c r="G267" i="40"/>
  <c r="F267" i="40"/>
  <c r="E267" i="40"/>
  <c r="D267" i="40"/>
  <c r="C267" i="40"/>
  <c r="B267" i="40"/>
  <c r="M266" i="40"/>
  <c r="L266" i="40"/>
  <c r="K266" i="40"/>
  <c r="J266" i="40"/>
  <c r="I266" i="40"/>
  <c r="H266" i="40"/>
  <c r="G266" i="40"/>
  <c r="F266" i="40"/>
  <c r="E266" i="40"/>
  <c r="D266" i="40"/>
  <c r="C266" i="40"/>
  <c r="B266" i="40"/>
  <c r="M265" i="40"/>
  <c r="L265" i="40"/>
  <c r="K265" i="40"/>
  <c r="J265" i="40"/>
  <c r="I265" i="40"/>
  <c r="H265" i="40"/>
  <c r="G265" i="40"/>
  <c r="F265" i="40"/>
  <c r="E265" i="40"/>
  <c r="D265" i="40"/>
  <c r="C265" i="40"/>
  <c r="B265" i="40"/>
  <c r="M226" i="40"/>
  <c r="L226" i="40"/>
  <c r="K226" i="40"/>
  <c r="J226" i="40"/>
  <c r="I226" i="40"/>
  <c r="H226" i="40"/>
  <c r="G226" i="40"/>
  <c r="F226" i="40"/>
  <c r="E226" i="40"/>
  <c r="D226" i="40"/>
  <c r="C226" i="40"/>
  <c r="B226" i="40"/>
  <c r="M225" i="40"/>
  <c r="L225" i="40"/>
  <c r="K225" i="40"/>
  <c r="J225" i="40"/>
  <c r="I225" i="40"/>
  <c r="H225" i="40"/>
  <c r="G225" i="40"/>
  <c r="F225" i="40"/>
  <c r="E225" i="40"/>
  <c r="D225" i="40"/>
  <c r="C225" i="40"/>
  <c r="B225" i="40"/>
  <c r="M224" i="40"/>
  <c r="L224" i="40"/>
  <c r="K224" i="40"/>
  <c r="J224" i="40"/>
  <c r="I224" i="40"/>
  <c r="H224" i="40"/>
  <c r="G224" i="40"/>
  <c r="F224" i="40"/>
  <c r="E224" i="40"/>
  <c r="D224" i="40"/>
  <c r="C224" i="40"/>
  <c r="B224" i="40"/>
  <c r="M223" i="40"/>
  <c r="L223" i="40"/>
  <c r="K223" i="40"/>
  <c r="J223" i="40"/>
  <c r="I223" i="40"/>
  <c r="H223" i="40"/>
  <c r="G223" i="40"/>
  <c r="F223" i="40"/>
  <c r="E223" i="40"/>
  <c r="D223" i="40"/>
  <c r="C223" i="40"/>
  <c r="B223" i="40"/>
  <c r="M222" i="40"/>
  <c r="L222" i="40"/>
  <c r="K222" i="40"/>
  <c r="J222" i="40"/>
  <c r="I222" i="40"/>
  <c r="H222" i="40"/>
  <c r="G222" i="40"/>
  <c r="F222" i="40"/>
  <c r="E222" i="40"/>
  <c r="D222" i="40"/>
  <c r="C222" i="40"/>
  <c r="B222" i="40"/>
  <c r="M221" i="40"/>
  <c r="L221" i="40"/>
  <c r="K221" i="40"/>
  <c r="J221" i="40"/>
  <c r="I221" i="40"/>
  <c r="H221" i="40"/>
  <c r="G221" i="40"/>
  <c r="F221" i="40"/>
  <c r="E221" i="40"/>
  <c r="D221" i="40"/>
  <c r="C221" i="40"/>
  <c r="B221" i="40"/>
  <c r="M220" i="40"/>
  <c r="L220" i="40"/>
  <c r="K220" i="40"/>
  <c r="J220" i="40"/>
  <c r="I220" i="40"/>
  <c r="H220" i="40"/>
  <c r="G220" i="40"/>
  <c r="F220" i="40"/>
  <c r="E220" i="40"/>
  <c r="D220" i="40"/>
  <c r="C220" i="40"/>
  <c r="B220" i="40"/>
  <c r="M219" i="40"/>
  <c r="L219" i="40"/>
  <c r="K219" i="40"/>
  <c r="J219" i="40"/>
  <c r="I219" i="40"/>
  <c r="H219" i="40"/>
  <c r="G219" i="40"/>
  <c r="F219" i="40"/>
  <c r="E219" i="40"/>
  <c r="D219" i="40"/>
  <c r="C219" i="40"/>
  <c r="B219" i="40"/>
  <c r="M180" i="40"/>
  <c r="L180" i="40"/>
  <c r="K180" i="40"/>
  <c r="J180" i="40"/>
  <c r="I180" i="40"/>
  <c r="H180" i="40"/>
  <c r="G180" i="40"/>
  <c r="F180" i="40"/>
  <c r="E180" i="40"/>
  <c r="D180" i="40"/>
  <c r="C180" i="40"/>
  <c r="B180" i="40"/>
  <c r="M179" i="40"/>
  <c r="L179" i="40"/>
  <c r="K179" i="40"/>
  <c r="J179" i="40"/>
  <c r="I179" i="40"/>
  <c r="H179" i="40"/>
  <c r="G179" i="40"/>
  <c r="F179" i="40"/>
  <c r="E179" i="40"/>
  <c r="D179" i="40"/>
  <c r="C179" i="40"/>
  <c r="B179" i="40"/>
  <c r="M178" i="40"/>
  <c r="L178" i="40"/>
  <c r="K178" i="40"/>
  <c r="J178" i="40"/>
  <c r="I178" i="40"/>
  <c r="H178" i="40"/>
  <c r="G178" i="40"/>
  <c r="F178" i="40"/>
  <c r="E178" i="40"/>
  <c r="D178" i="40"/>
  <c r="C178" i="40"/>
  <c r="B178" i="40"/>
  <c r="M177" i="40"/>
  <c r="L177" i="40"/>
  <c r="K177" i="40"/>
  <c r="J177" i="40"/>
  <c r="I177" i="40"/>
  <c r="H177" i="40"/>
  <c r="G177" i="40"/>
  <c r="F177" i="40"/>
  <c r="E177" i="40"/>
  <c r="D177" i="40"/>
  <c r="C177" i="40"/>
  <c r="B177" i="40"/>
  <c r="M176" i="40"/>
  <c r="L176" i="40"/>
  <c r="K176" i="40"/>
  <c r="J176" i="40"/>
  <c r="I176" i="40"/>
  <c r="H176" i="40"/>
  <c r="G176" i="40"/>
  <c r="F176" i="40"/>
  <c r="E176" i="40"/>
  <c r="D176" i="40"/>
  <c r="C176" i="40"/>
  <c r="B176" i="40"/>
  <c r="M175" i="40"/>
  <c r="L175" i="40"/>
  <c r="K175" i="40"/>
  <c r="J175" i="40"/>
  <c r="I175" i="40"/>
  <c r="H175" i="40"/>
  <c r="G175" i="40"/>
  <c r="F175" i="40"/>
  <c r="E175" i="40"/>
  <c r="D175" i="40"/>
  <c r="C175" i="40"/>
  <c r="B175" i="40"/>
  <c r="M174" i="40"/>
  <c r="L174" i="40"/>
  <c r="K174" i="40"/>
  <c r="J174" i="40"/>
  <c r="I174" i="40"/>
  <c r="H174" i="40"/>
  <c r="G174" i="40"/>
  <c r="F174" i="40"/>
  <c r="E174" i="40"/>
  <c r="D174" i="40"/>
  <c r="C174" i="40"/>
  <c r="B174" i="40"/>
  <c r="M173" i="40"/>
  <c r="L173" i="40"/>
  <c r="K173" i="40"/>
  <c r="J173" i="40"/>
  <c r="I173" i="40"/>
  <c r="H173" i="40"/>
  <c r="G173" i="40"/>
  <c r="F173" i="40"/>
  <c r="E173" i="40"/>
  <c r="D173" i="40"/>
  <c r="C173" i="40"/>
  <c r="B173" i="40"/>
  <c r="M134" i="40"/>
  <c r="L134" i="40"/>
  <c r="K134" i="40"/>
  <c r="J134" i="40"/>
  <c r="I134" i="40"/>
  <c r="H134" i="40"/>
  <c r="G134" i="40"/>
  <c r="F134" i="40"/>
  <c r="E134" i="40"/>
  <c r="D134" i="40"/>
  <c r="C134" i="40"/>
  <c r="B134" i="40"/>
  <c r="M133" i="40"/>
  <c r="L133" i="40"/>
  <c r="K133" i="40"/>
  <c r="J133" i="40"/>
  <c r="I133" i="40"/>
  <c r="H133" i="40"/>
  <c r="G133" i="40"/>
  <c r="F133" i="40"/>
  <c r="E133" i="40"/>
  <c r="D133" i="40"/>
  <c r="C133" i="40"/>
  <c r="B133" i="40"/>
  <c r="M132" i="40"/>
  <c r="L132" i="40"/>
  <c r="K132" i="40"/>
  <c r="J132" i="40"/>
  <c r="I132" i="40"/>
  <c r="H132" i="40"/>
  <c r="G132" i="40"/>
  <c r="F132" i="40"/>
  <c r="E132" i="40"/>
  <c r="D132" i="40"/>
  <c r="C132" i="40"/>
  <c r="B132" i="40"/>
  <c r="M131" i="40"/>
  <c r="L131" i="40"/>
  <c r="K131" i="40"/>
  <c r="J131" i="40"/>
  <c r="I131" i="40"/>
  <c r="H131" i="40"/>
  <c r="G131" i="40"/>
  <c r="F131" i="40"/>
  <c r="E131" i="40"/>
  <c r="D131" i="40"/>
  <c r="C131" i="40"/>
  <c r="B131" i="40"/>
  <c r="M130" i="40"/>
  <c r="L130" i="40"/>
  <c r="K130" i="40"/>
  <c r="J130" i="40"/>
  <c r="I130" i="40"/>
  <c r="H130" i="40"/>
  <c r="G130" i="40"/>
  <c r="F130" i="40"/>
  <c r="E130" i="40"/>
  <c r="D130" i="40"/>
  <c r="C130" i="40"/>
  <c r="B130" i="40"/>
  <c r="M129" i="40"/>
  <c r="L129" i="40"/>
  <c r="K129" i="40"/>
  <c r="J129" i="40"/>
  <c r="I129" i="40"/>
  <c r="H129" i="40"/>
  <c r="G129" i="40"/>
  <c r="F129" i="40"/>
  <c r="E129" i="40"/>
  <c r="D129" i="40"/>
  <c r="C129" i="40"/>
  <c r="B129" i="40"/>
  <c r="M128" i="40"/>
  <c r="L128" i="40"/>
  <c r="K128" i="40"/>
  <c r="J128" i="40"/>
  <c r="I128" i="40"/>
  <c r="H128" i="40"/>
  <c r="G128" i="40"/>
  <c r="F128" i="40"/>
  <c r="E128" i="40"/>
  <c r="D128" i="40"/>
  <c r="C128" i="40"/>
  <c r="B128" i="40"/>
  <c r="M127" i="40"/>
  <c r="L127" i="40"/>
  <c r="K127" i="40"/>
  <c r="J127" i="40"/>
  <c r="I127" i="40"/>
  <c r="H127" i="40"/>
  <c r="G127" i="40"/>
  <c r="F127" i="40"/>
  <c r="E127" i="40"/>
  <c r="D127" i="40"/>
  <c r="C127" i="40"/>
  <c r="B127" i="40"/>
  <c r="M88" i="40"/>
  <c r="L88" i="40"/>
  <c r="K88" i="40"/>
  <c r="J88" i="40"/>
  <c r="I88" i="40"/>
  <c r="H88" i="40"/>
  <c r="G88" i="40"/>
  <c r="F88" i="40"/>
  <c r="E88" i="40"/>
  <c r="D88" i="40"/>
  <c r="C88" i="40"/>
  <c r="B88" i="40"/>
  <c r="M87" i="40"/>
  <c r="L87" i="40"/>
  <c r="K87" i="40"/>
  <c r="J87" i="40"/>
  <c r="I87" i="40"/>
  <c r="H87" i="40"/>
  <c r="G87" i="40"/>
  <c r="F87" i="40"/>
  <c r="E87" i="40"/>
  <c r="D87" i="40"/>
  <c r="C87" i="40"/>
  <c r="B87" i="40"/>
  <c r="M86" i="40"/>
  <c r="L86" i="40"/>
  <c r="K86" i="40"/>
  <c r="J86" i="40"/>
  <c r="I86" i="40"/>
  <c r="H86" i="40"/>
  <c r="G86" i="40"/>
  <c r="F86" i="40"/>
  <c r="E86" i="40"/>
  <c r="D86" i="40"/>
  <c r="C86" i="40"/>
  <c r="B86" i="40"/>
  <c r="M85" i="40"/>
  <c r="L85" i="40"/>
  <c r="K85" i="40"/>
  <c r="J85" i="40"/>
  <c r="I85" i="40"/>
  <c r="H85" i="40"/>
  <c r="G85" i="40"/>
  <c r="F85" i="40"/>
  <c r="E85" i="40"/>
  <c r="D85" i="40"/>
  <c r="C85" i="40"/>
  <c r="B85" i="40"/>
  <c r="M84" i="40"/>
  <c r="L84" i="40"/>
  <c r="K84" i="40"/>
  <c r="J84" i="40"/>
  <c r="I84" i="40"/>
  <c r="H84" i="40"/>
  <c r="G84" i="40"/>
  <c r="F84" i="40"/>
  <c r="E84" i="40"/>
  <c r="D84" i="40"/>
  <c r="C84" i="40"/>
  <c r="B84" i="40"/>
  <c r="M83" i="40"/>
  <c r="L83" i="40"/>
  <c r="K83" i="40"/>
  <c r="J83" i="40"/>
  <c r="I83" i="40"/>
  <c r="H83" i="40"/>
  <c r="G83" i="40"/>
  <c r="F83" i="40"/>
  <c r="E83" i="40"/>
  <c r="D83" i="40"/>
  <c r="C83" i="40"/>
  <c r="B83" i="40"/>
  <c r="M82" i="40"/>
  <c r="L82" i="40"/>
  <c r="K82" i="40"/>
  <c r="J82" i="40"/>
  <c r="I82" i="40"/>
  <c r="H82" i="40"/>
  <c r="G82" i="40"/>
  <c r="F82" i="40"/>
  <c r="E82" i="40"/>
  <c r="D82" i="40"/>
  <c r="C82" i="40"/>
  <c r="B82" i="40"/>
  <c r="M81" i="40"/>
  <c r="L81" i="40"/>
  <c r="K81" i="40"/>
  <c r="J81" i="40"/>
  <c r="I81" i="40"/>
  <c r="H81" i="40"/>
  <c r="G81" i="40"/>
  <c r="F81" i="40"/>
  <c r="E81" i="40"/>
  <c r="D81" i="40"/>
  <c r="C81" i="40"/>
  <c r="B81" i="40"/>
  <c r="M42" i="40"/>
  <c r="L42" i="40"/>
  <c r="K42" i="40"/>
  <c r="J42" i="40"/>
  <c r="I42" i="40"/>
  <c r="H42" i="40"/>
  <c r="G42" i="40"/>
  <c r="F42" i="40"/>
  <c r="E42" i="40"/>
  <c r="D42" i="40"/>
  <c r="C42" i="40"/>
  <c r="B42" i="40"/>
  <c r="M41" i="40"/>
  <c r="L41" i="40"/>
  <c r="K41" i="40"/>
  <c r="J41" i="40"/>
  <c r="I41" i="40"/>
  <c r="H41" i="40"/>
  <c r="G41" i="40"/>
  <c r="F41" i="40"/>
  <c r="E41" i="40"/>
  <c r="D41" i="40"/>
  <c r="C41" i="40"/>
  <c r="B41" i="40"/>
  <c r="M40" i="40"/>
  <c r="L40" i="40"/>
  <c r="K40" i="40"/>
  <c r="J40" i="40"/>
  <c r="I40" i="40"/>
  <c r="H40" i="40"/>
  <c r="G40" i="40"/>
  <c r="F40" i="40"/>
  <c r="E40" i="40"/>
  <c r="D40" i="40"/>
  <c r="C40" i="40"/>
  <c r="B40" i="40"/>
  <c r="M39" i="40"/>
  <c r="L39" i="40"/>
  <c r="K39" i="40"/>
  <c r="J39" i="40"/>
  <c r="I39" i="40"/>
  <c r="H39" i="40"/>
  <c r="G39" i="40"/>
  <c r="F39" i="40"/>
  <c r="E39" i="40"/>
  <c r="D39" i="40"/>
  <c r="C39" i="40"/>
  <c r="B39" i="40"/>
  <c r="M38" i="40"/>
  <c r="L38" i="40"/>
  <c r="K38" i="40"/>
  <c r="J38" i="40"/>
  <c r="I38" i="40"/>
  <c r="H38" i="40"/>
  <c r="G38" i="40"/>
  <c r="F38" i="40"/>
  <c r="E38" i="40"/>
  <c r="D38" i="40"/>
  <c r="C38" i="40"/>
  <c r="B38" i="40"/>
  <c r="M134" i="39"/>
  <c r="L134" i="39"/>
  <c r="K134" i="39"/>
  <c r="J134" i="39"/>
  <c r="I134" i="39"/>
  <c r="H134" i="39"/>
  <c r="G134" i="39"/>
  <c r="F134" i="39"/>
  <c r="E134" i="39"/>
  <c r="D134" i="39"/>
  <c r="C134" i="39"/>
  <c r="B134" i="39"/>
  <c r="M133" i="39"/>
  <c r="L133" i="39"/>
  <c r="K133" i="39"/>
  <c r="J133" i="39"/>
  <c r="I133" i="39"/>
  <c r="H133" i="39"/>
  <c r="G133" i="39"/>
  <c r="F133" i="39"/>
  <c r="E133" i="39"/>
  <c r="D133" i="39"/>
  <c r="C133" i="39"/>
  <c r="B133" i="39"/>
  <c r="M132" i="39"/>
  <c r="L132" i="39"/>
  <c r="K132" i="39"/>
  <c r="J132" i="39"/>
  <c r="I132" i="39"/>
  <c r="H132" i="39"/>
  <c r="G132" i="39"/>
  <c r="F132" i="39"/>
  <c r="E132" i="39"/>
  <c r="D132" i="39"/>
  <c r="C132" i="39"/>
  <c r="B132" i="39"/>
  <c r="M131" i="39"/>
  <c r="L131" i="39"/>
  <c r="K131" i="39"/>
  <c r="J131" i="39"/>
  <c r="I131" i="39"/>
  <c r="H131" i="39"/>
  <c r="G131" i="39"/>
  <c r="F131" i="39"/>
  <c r="E131" i="39"/>
  <c r="D131" i="39"/>
  <c r="C131" i="39"/>
  <c r="B131" i="39"/>
  <c r="M130" i="39"/>
  <c r="L130" i="39"/>
  <c r="K130" i="39"/>
  <c r="J130" i="39"/>
  <c r="I130" i="39"/>
  <c r="H130" i="39"/>
  <c r="G130" i="39"/>
  <c r="F130" i="39"/>
  <c r="E130" i="39"/>
  <c r="D130" i="39"/>
  <c r="C130" i="39"/>
  <c r="B130" i="39"/>
  <c r="M129" i="39"/>
  <c r="L129" i="39"/>
  <c r="K129" i="39"/>
  <c r="J129" i="39"/>
  <c r="I129" i="39"/>
  <c r="H129" i="39"/>
  <c r="G129" i="39"/>
  <c r="F129" i="39"/>
  <c r="E129" i="39"/>
  <c r="D129" i="39"/>
  <c r="C129" i="39"/>
  <c r="B129" i="39"/>
  <c r="M128" i="39"/>
  <c r="L128" i="39"/>
  <c r="K128" i="39"/>
  <c r="J128" i="39"/>
  <c r="I128" i="39"/>
  <c r="H128" i="39"/>
  <c r="G128" i="39"/>
  <c r="F128" i="39"/>
  <c r="E128" i="39"/>
  <c r="D128" i="39"/>
  <c r="C128" i="39"/>
  <c r="B128" i="39"/>
  <c r="M127" i="39"/>
  <c r="L127" i="39"/>
  <c r="K127" i="39"/>
  <c r="J127" i="39"/>
  <c r="I127" i="39"/>
  <c r="H127" i="39"/>
  <c r="G127" i="39"/>
  <c r="F127" i="39"/>
  <c r="E127" i="39"/>
  <c r="D127" i="39"/>
  <c r="C127" i="39"/>
  <c r="B127" i="39"/>
  <c r="M88" i="39"/>
  <c r="L88" i="39"/>
  <c r="K88" i="39"/>
  <c r="J88" i="39"/>
  <c r="I88" i="39"/>
  <c r="H88" i="39"/>
  <c r="G88" i="39"/>
  <c r="F88" i="39"/>
  <c r="E88" i="39"/>
  <c r="D88" i="39"/>
  <c r="C88" i="39"/>
  <c r="B88" i="39"/>
  <c r="M87" i="39"/>
  <c r="L87" i="39"/>
  <c r="K87" i="39"/>
  <c r="J87" i="39"/>
  <c r="I87" i="39"/>
  <c r="H87" i="39"/>
  <c r="G87" i="39"/>
  <c r="F87" i="39"/>
  <c r="E87" i="39"/>
  <c r="D87" i="39"/>
  <c r="C87" i="39"/>
  <c r="B87" i="39"/>
  <c r="M86" i="39"/>
  <c r="L86" i="39"/>
  <c r="K86" i="39"/>
  <c r="J86" i="39"/>
  <c r="I86" i="39"/>
  <c r="H86" i="39"/>
  <c r="G86" i="39"/>
  <c r="F86" i="39"/>
  <c r="E86" i="39"/>
  <c r="D86" i="39"/>
  <c r="C86" i="39"/>
  <c r="B86" i="39"/>
  <c r="M85" i="39"/>
  <c r="L85" i="39"/>
  <c r="K85" i="39"/>
  <c r="J85" i="39"/>
  <c r="I85" i="39"/>
  <c r="H85" i="39"/>
  <c r="G85" i="39"/>
  <c r="F85" i="39"/>
  <c r="E85" i="39"/>
  <c r="D85" i="39"/>
  <c r="C85" i="39"/>
  <c r="B85" i="39"/>
  <c r="M84" i="39"/>
  <c r="L84" i="39"/>
  <c r="K84" i="39"/>
  <c r="J84" i="39"/>
  <c r="I84" i="39"/>
  <c r="H84" i="39"/>
  <c r="G84" i="39"/>
  <c r="F84" i="39"/>
  <c r="E84" i="39"/>
  <c r="D84" i="39"/>
  <c r="C84" i="39"/>
  <c r="B84" i="39"/>
  <c r="M83" i="39"/>
  <c r="L83" i="39"/>
  <c r="K83" i="39"/>
  <c r="J83" i="39"/>
  <c r="I83" i="39"/>
  <c r="H83" i="39"/>
  <c r="G83" i="39"/>
  <c r="F83" i="39"/>
  <c r="E83" i="39"/>
  <c r="D83" i="39"/>
  <c r="C83" i="39"/>
  <c r="B83" i="39"/>
  <c r="M82" i="39"/>
  <c r="L82" i="39"/>
  <c r="K82" i="39"/>
  <c r="J82" i="39"/>
  <c r="I82" i="39"/>
  <c r="H82" i="39"/>
  <c r="G82" i="39"/>
  <c r="F82" i="39"/>
  <c r="E82" i="39"/>
  <c r="D82" i="39"/>
  <c r="C82" i="39"/>
  <c r="B82" i="39"/>
  <c r="M81" i="39"/>
  <c r="L81" i="39"/>
  <c r="K81" i="39"/>
  <c r="J81" i="39"/>
  <c r="I81" i="39"/>
  <c r="H81" i="39"/>
  <c r="G81" i="39"/>
  <c r="F81" i="39"/>
  <c r="E81" i="39"/>
  <c r="D81" i="39"/>
  <c r="C81" i="39"/>
  <c r="B81" i="39"/>
  <c r="M42" i="39"/>
  <c r="L42" i="39"/>
  <c r="K42" i="39"/>
  <c r="J42" i="39"/>
  <c r="I42" i="39"/>
  <c r="H42" i="39"/>
  <c r="G42" i="39"/>
  <c r="F42" i="39"/>
  <c r="E42" i="39"/>
  <c r="D42" i="39"/>
  <c r="C42" i="39"/>
  <c r="B42" i="39"/>
  <c r="M41" i="39"/>
  <c r="L41" i="39"/>
  <c r="K41" i="39"/>
  <c r="J41" i="39"/>
  <c r="I41" i="39"/>
  <c r="H41" i="39"/>
  <c r="G41" i="39"/>
  <c r="F41" i="39"/>
  <c r="E41" i="39"/>
  <c r="D41" i="39"/>
  <c r="C41" i="39"/>
  <c r="B41" i="39"/>
  <c r="M40" i="39"/>
  <c r="L40" i="39"/>
  <c r="K40" i="39"/>
  <c r="J40" i="39"/>
  <c r="I40" i="39"/>
  <c r="H40" i="39"/>
  <c r="G40" i="39"/>
  <c r="F40" i="39"/>
  <c r="E40" i="39"/>
  <c r="D40" i="39"/>
  <c r="C40" i="39"/>
  <c r="B40" i="39"/>
  <c r="M39" i="39"/>
  <c r="L39" i="39"/>
  <c r="K39" i="39"/>
  <c r="J39" i="39"/>
  <c r="I39" i="39"/>
  <c r="H39" i="39"/>
  <c r="G39" i="39"/>
  <c r="F39" i="39"/>
  <c r="E39" i="39"/>
  <c r="D39" i="39"/>
  <c r="C39" i="39"/>
  <c r="B39" i="39"/>
  <c r="M38" i="39"/>
  <c r="L38" i="39"/>
  <c r="K38" i="39"/>
  <c r="J38" i="39"/>
  <c r="I38" i="39"/>
  <c r="H38" i="39"/>
  <c r="G38" i="39"/>
  <c r="F38" i="39"/>
  <c r="E38" i="39"/>
  <c r="D38" i="39"/>
  <c r="C38" i="39"/>
  <c r="B38" i="39"/>
  <c r="M134" i="38"/>
  <c r="L134" i="38"/>
  <c r="K134" i="38"/>
  <c r="J134" i="38"/>
  <c r="I134" i="38"/>
  <c r="H134" i="38"/>
  <c r="G134" i="38"/>
  <c r="F134" i="38"/>
  <c r="E134" i="38"/>
  <c r="D134" i="38"/>
  <c r="C134" i="38"/>
  <c r="B134" i="38"/>
  <c r="M133" i="38"/>
  <c r="L133" i="38"/>
  <c r="K133" i="38"/>
  <c r="J133" i="38"/>
  <c r="I133" i="38"/>
  <c r="H133" i="38"/>
  <c r="G133" i="38"/>
  <c r="F133" i="38"/>
  <c r="E133" i="38"/>
  <c r="D133" i="38"/>
  <c r="C133" i="38"/>
  <c r="B133" i="38"/>
  <c r="M132" i="38"/>
  <c r="L132" i="38"/>
  <c r="K132" i="38"/>
  <c r="J132" i="38"/>
  <c r="I132" i="38"/>
  <c r="H132" i="38"/>
  <c r="G132" i="38"/>
  <c r="F132" i="38"/>
  <c r="E132" i="38"/>
  <c r="D132" i="38"/>
  <c r="C132" i="38"/>
  <c r="B132" i="38"/>
  <c r="M131" i="38"/>
  <c r="L131" i="38"/>
  <c r="K131" i="38"/>
  <c r="J131" i="38"/>
  <c r="I131" i="38"/>
  <c r="H131" i="38"/>
  <c r="G131" i="38"/>
  <c r="F131" i="38"/>
  <c r="E131" i="38"/>
  <c r="D131" i="38"/>
  <c r="C131" i="38"/>
  <c r="B131" i="38"/>
  <c r="M130" i="38"/>
  <c r="L130" i="38"/>
  <c r="K130" i="38"/>
  <c r="J130" i="38"/>
  <c r="I130" i="38"/>
  <c r="H130" i="38"/>
  <c r="G130" i="38"/>
  <c r="F130" i="38"/>
  <c r="E130" i="38"/>
  <c r="D130" i="38"/>
  <c r="C130" i="38"/>
  <c r="B130" i="38"/>
  <c r="M129" i="38"/>
  <c r="L129" i="38"/>
  <c r="K129" i="38"/>
  <c r="J129" i="38"/>
  <c r="I129" i="38"/>
  <c r="H129" i="38"/>
  <c r="G129" i="38"/>
  <c r="F129" i="38"/>
  <c r="E129" i="38"/>
  <c r="D129" i="38"/>
  <c r="C129" i="38"/>
  <c r="B129" i="38"/>
  <c r="M128" i="38"/>
  <c r="L128" i="38"/>
  <c r="K128" i="38"/>
  <c r="J128" i="38"/>
  <c r="I128" i="38"/>
  <c r="H128" i="38"/>
  <c r="G128" i="38"/>
  <c r="F128" i="38"/>
  <c r="E128" i="38"/>
  <c r="D128" i="38"/>
  <c r="C128" i="38"/>
  <c r="B128" i="38"/>
  <c r="M127" i="38"/>
  <c r="L127" i="38"/>
  <c r="K127" i="38"/>
  <c r="J127" i="38"/>
  <c r="I127" i="38"/>
  <c r="H127" i="38"/>
  <c r="G127" i="38"/>
  <c r="F127" i="38"/>
  <c r="E127" i="38"/>
  <c r="D127" i="38"/>
  <c r="C127" i="38"/>
  <c r="B127" i="38"/>
  <c r="M88" i="38"/>
  <c r="L88" i="38"/>
  <c r="K88" i="38"/>
  <c r="J88" i="38"/>
  <c r="I88" i="38"/>
  <c r="H88" i="38"/>
  <c r="G88" i="38"/>
  <c r="F88" i="38"/>
  <c r="E88" i="38"/>
  <c r="D88" i="38"/>
  <c r="C88" i="38"/>
  <c r="B88" i="38"/>
  <c r="M87" i="38"/>
  <c r="L87" i="38"/>
  <c r="K87" i="38"/>
  <c r="J87" i="38"/>
  <c r="I87" i="38"/>
  <c r="H87" i="38"/>
  <c r="G87" i="38"/>
  <c r="F87" i="38"/>
  <c r="E87" i="38"/>
  <c r="D87" i="38"/>
  <c r="C87" i="38"/>
  <c r="B87" i="38"/>
  <c r="M86" i="38"/>
  <c r="L86" i="38"/>
  <c r="K86" i="38"/>
  <c r="J86" i="38"/>
  <c r="I86" i="38"/>
  <c r="H86" i="38"/>
  <c r="G86" i="38"/>
  <c r="F86" i="38"/>
  <c r="E86" i="38"/>
  <c r="D86" i="38"/>
  <c r="C86" i="38"/>
  <c r="B86" i="38"/>
  <c r="M85" i="38"/>
  <c r="L85" i="38"/>
  <c r="K85" i="38"/>
  <c r="J85" i="38"/>
  <c r="I85" i="38"/>
  <c r="H85" i="38"/>
  <c r="G85" i="38"/>
  <c r="F85" i="38"/>
  <c r="E85" i="38"/>
  <c r="D85" i="38"/>
  <c r="C85" i="38"/>
  <c r="B85" i="38"/>
  <c r="M84" i="38"/>
  <c r="L84" i="38"/>
  <c r="K84" i="38"/>
  <c r="J84" i="38"/>
  <c r="I84" i="38"/>
  <c r="H84" i="38"/>
  <c r="G84" i="38"/>
  <c r="F84" i="38"/>
  <c r="E84" i="38"/>
  <c r="D84" i="38"/>
  <c r="C84" i="38"/>
  <c r="B84" i="38"/>
  <c r="M83" i="38"/>
  <c r="L83" i="38"/>
  <c r="K83" i="38"/>
  <c r="J83" i="38"/>
  <c r="I83" i="38"/>
  <c r="H83" i="38"/>
  <c r="G83" i="38"/>
  <c r="F83" i="38"/>
  <c r="E83" i="38"/>
  <c r="D83" i="38"/>
  <c r="C83" i="38"/>
  <c r="B83" i="38"/>
  <c r="M82" i="38"/>
  <c r="L82" i="38"/>
  <c r="K82" i="38"/>
  <c r="J82" i="38"/>
  <c r="I82" i="38"/>
  <c r="H82" i="38"/>
  <c r="G82" i="38"/>
  <c r="F82" i="38"/>
  <c r="E82" i="38"/>
  <c r="D82" i="38"/>
  <c r="C82" i="38"/>
  <c r="B82" i="38"/>
  <c r="M81" i="38"/>
  <c r="L81" i="38"/>
  <c r="K81" i="38"/>
  <c r="J81" i="38"/>
  <c r="I81" i="38"/>
  <c r="H81" i="38"/>
  <c r="G81" i="38"/>
  <c r="F81" i="38"/>
  <c r="E81" i="38"/>
  <c r="D81" i="38"/>
  <c r="C81" i="38"/>
  <c r="B81" i="38"/>
  <c r="M42" i="38"/>
  <c r="L42" i="38"/>
  <c r="K42" i="38"/>
  <c r="J42" i="38"/>
  <c r="I42" i="38"/>
  <c r="H42" i="38"/>
  <c r="G42" i="38"/>
  <c r="F42" i="38"/>
  <c r="E42" i="38"/>
  <c r="D42" i="38"/>
  <c r="C42" i="38"/>
  <c r="B42" i="38"/>
  <c r="M41" i="38"/>
  <c r="L41" i="38"/>
  <c r="K41" i="38"/>
  <c r="J41" i="38"/>
  <c r="I41" i="38"/>
  <c r="H41" i="38"/>
  <c r="G41" i="38"/>
  <c r="F41" i="38"/>
  <c r="E41" i="38"/>
  <c r="D41" i="38"/>
  <c r="C41" i="38"/>
  <c r="B41" i="38"/>
  <c r="M40" i="38"/>
  <c r="L40" i="38"/>
  <c r="K40" i="38"/>
  <c r="J40" i="38"/>
  <c r="I40" i="38"/>
  <c r="H40" i="38"/>
  <c r="G40" i="38"/>
  <c r="F40" i="38"/>
  <c r="E40" i="38"/>
  <c r="D40" i="38"/>
  <c r="C40" i="38"/>
  <c r="B40" i="38"/>
  <c r="M39" i="38"/>
  <c r="L39" i="38"/>
  <c r="K39" i="38"/>
  <c r="J39" i="38"/>
  <c r="I39" i="38"/>
  <c r="H39" i="38"/>
  <c r="G39" i="38"/>
  <c r="F39" i="38"/>
  <c r="E39" i="38"/>
  <c r="D39" i="38"/>
  <c r="C39" i="38"/>
  <c r="B39" i="38"/>
  <c r="M38" i="38"/>
  <c r="L38" i="38"/>
  <c r="K38" i="38"/>
  <c r="J38" i="38"/>
  <c r="I38" i="38"/>
  <c r="H38" i="38"/>
  <c r="G38" i="38"/>
  <c r="F38" i="38"/>
  <c r="E38" i="38"/>
  <c r="D38" i="38"/>
  <c r="C38" i="38"/>
  <c r="B38" i="38"/>
  <c r="M88" i="37"/>
  <c r="L88" i="37"/>
  <c r="K88" i="37"/>
  <c r="J88" i="37"/>
  <c r="I88" i="37"/>
  <c r="H88" i="37"/>
  <c r="G88" i="37"/>
  <c r="F88" i="37"/>
  <c r="E88" i="37"/>
  <c r="D88" i="37"/>
  <c r="C88" i="37"/>
  <c r="B88" i="37"/>
  <c r="M87" i="37"/>
  <c r="L87" i="37"/>
  <c r="K87" i="37"/>
  <c r="J87" i="37"/>
  <c r="I87" i="37"/>
  <c r="H87" i="37"/>
  <c r="G87" i="37"/>
  <c r="F87" i="37"/>
  <c r="E87" i="37"/>
  <c r="D87" i="37"/>
  <c r="C87" i="37"/>
  <c r="B87" i="37"/>
  <c r="M86" i="37"/>
  <c r="L86" i="37"/>
  <c r="K86" i="37"/>
  <c r="J86" i="37"/>
  <c r="I86" i="37"/>
  <c r="H86" i="37"/>
  <c r="G86" i="37"/>
  <c r="F86" i="37"/>
  <c r="E86" i="37"/>
  <c r="D86" i="37"/>
  <c r="C86" i="37"/>
  <c r="B86" i="37"/>
  <c r="M85" i="37"/>
  <c r="L85" i="37"/>
  <c r="K85" i="37"/>
  <c r="J85" i="37"/>
  <c r="I85" i="37"/>
  <c r="H85" i="37"/>
  <c r="G85" i="37"/>
  <c r="F85" i="37"/>
  <c r="E85" i="37"/>
  <c r="D85" i="37"/>
  <c r="C85" i="37"/>
  <c r="B85" i="37"/>
  <c r="M84" i="37"/>
  <c r="L84" i="37"/>
  <c r="K84" i="37"/>
  <c r="J84" i="37"/>
  <c r="I84" i="37"/>
  <c r="H84" i="37"/>
  <c r="G84" i="37"/>
  <c r="F84" i="37"/>
  <c r="E84" i="37"/>
  <c r="D84" i="37"/>
  <c r="C84" i="37"/>
  <c r="B84" i="37"/>
  <c r="M83" i="37"/>
  <c r="L83" i="37"/>
  <c r="K83" i="37"/>
  <c r="J83" i="37"/>
  <c r="I83" i="37"/>
  <c r="H83" i="37"/>
  <c r="G83" i="37"/>
  <c r="F83" i="37"/>
  <c r="E83" i="37"/>
  <c r="D83" i="37"/>
  <c r="C83" i="37"/>
  <c r="B83" i="37"/>
  <c r="M82" i="37"/>
  <c r="L82" i="37"/>
  <c r="K82" i="37"/>
  <c r="J82" i="37"/>
  <c r="I82" i="37"/>
  <c r="H82" i="37"/>
  <c r="G82" i="37"/>
  <c r="F82" i="37"/>
  <c r="E82" i="37"/>
  <c r="D82" i="37"/>
  <c r="C82" i="37"/>
  <c r="B82" i="37"/>
  <c r="M81" i="37"/>
  <c r="L81" i="37"/>
  <c r="K81" i="37"/>
  <c r="J81" i="37"/>
  <c r="I81" i="37"/>
  <c r="H81" i="37"/>
  <c r="G81" i="37"/>
  <c r="F81" i="37"/>
  <c r="E81" i="37"/>
  <c r="D81" i="37"/>
  <c r="C81" i="37"/>
  <c r="B81" i="37"/>
  <c r="M42" i="37"/>
  <c r="L42" i="37"/>
  <c r="K42" i="37"/>
  <c r="J42" i="37"/>
  <c r="I42" i="37"/>
  <c r="H42" i="37"/>
  <c r="G42" i="37"/>
  <c r="F42" i="37"/>
  <c r="E42" i="37"/>
  <c r="D42" i="37"/>
  <c r="C42" i="37"/>
  <c r="B42" i="37"/>
  <c r="M41" i="37"/>
  <c r="L41" i="37"/>
  <c r="K41" i="37"/>
  <c r="J41" i="37"/>
  <c r="I41" i="37"/>
  <c r="H41" i="37"/>
  <c r="G41" i="37"/>
  <c r="F41" i="37"/>
  <c r="E41" i="37"/>
  <c r="D41" i="37"/>
  <c r="C41" i="37"/>
  <c r="B41" i="37"/>
  <c r="M40" i="37"/>
  <c r="L40" i="37"/>
  <c r="K40" i="37"/>
  <c r="J40" i="37"/>
  <c r="I40" i="37"/>
  <c r="H40" i="37"/>
  <c r="G40" i="37"/>
  <c r="F40" i="37"/>
  <c r="E40" i="37"/>
  <c r="D40" i="37"/>
  <c r="C40" i="37"/>
  <c r="B40" i="37"/>
  <c r="M39" i="37"/>
  <c r="L39" i="37"/>
  <c r="K39" i="37"/>
  <c r="J39" i="37"/>
  <c r="I39" i="37"/>
  <c r="H39" i="37"/>
  <c r="G39" i="37"/>
  <c r="F39" i="37"/>
  <c r="E39" i="37"/>
  <c r="D39" i="37"/>
  <c r="C39" i="37"/>
  <c r="B39" i="37"/>
  <c r="M38" i="37"/>
  <c r="L38" i="37"/>
  <c r="K38" i="37"/>
  <c r="J38" i="37"/>
  <c r="I38" i="37"/>
  <c r="H38" i="37"/>
  <c r="G38" i="37"/>
  <c r="F38" i="37"/>
  <c r="E38" i="37"/>
  <c r="D38" i="37"/>
  <c r="C38" i="37"/>
  <c r="B38" i="37"/>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<sst xmlns="http://schemas.openxmlformats.org/spreadsheetml/2006/main" count="2136" uniqueCount="53">
  <si>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</si>
  <si>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</si>
  <si>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</si>
  <si>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</si>
  <si>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</si>
  <si>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</si>
  <si>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</si>
  <si>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</si>
  <si>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</si>
  <si>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</si>
  <si>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</si>
  <si>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</si>
  <si>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</si>
  <si>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</si>
  <si>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</si>
  <si>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</si>
  <si>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</si>
  <si>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</si>
  <si>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</si>
  <si>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</si>
  <si>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</si>
  <si>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</si>
  <si>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</si>
  <si>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</si>
  <si>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</si>
  <si>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</si>
  <si>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</si>
  <si>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</si>
  <si>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</si>
  <si>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</si>
  <si>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</si>
  <si>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</si>
  <si>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</si>
  <si>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</si>
  <si>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</si>
  <si>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</si>
  <si>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</si>
  <si>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</si>
  <si>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</si>
  <si>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Bbbbb</t>
  </si>
  <si>
    <t>Ccccc</t>
  </si>
  <si>
    <t>Somewhere</t>
  </si>
  <si>
    <t>Broken clavicle</t>
  </si>
  <si>
    <t>Mountain biking</t>
  </si>
  <si>
    <t>Not sure when I will be back</t>
  </si>
  <si>
    <t>Ddddd</t>
  </si>
  <si>
    <t>Report Year</t>
  </si>
  <si>
    <t>Description</t>
  </si>
  <si>
    <t>Ship Activity</t>
  </si>
  <si>
    <t>Xxxxx</t>
  </si>
  <si>
    <t>Qqqqq</t>
  </si>
  <si>
    <t>Standby</t>
  </si>
  <si>
    <t>Paul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</si>
</sst>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32">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1">
    <xf numFmtId="0" fontId="0" fillId="0" borderId="0"/>
  </cellStyleXfs>
  <cellXfs count="73">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0" fillId="4" borderId="8" xfId="0" applyFill="1" applyBorder="1"/>
    <xf numFmtId="14" fontId="0" fillId="4" borderId="9" xfId="0" applyNumberFormat="1" applyFill="1" applyBorder="1"/>
    <xf numFmtId="14" fontId="0" fillId="4" borderId="10" xfId="0" applyNumberFormat="1" applyFill="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8"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20"/>
  <sheetViews>
    <sheetView showGridLines="0" showRowColHeaders="0" zoomScaleNormal="100" workbookViewId="0">
      <pane xSplit="9" ySplit="8" topLeftCell="J9" activePane="bottomRight" state="frozen"/>
      <selection pane="topRight" activeCell="J1" sqref="J1"/>
      <selection pane="bottomLeft" activeCell="A9" sqref="A9"/>
      <selection pane="bottomRight" activeCell="B27" sqref="B27"/>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60" t="s">
        <v>31</v>
      </c>
      <c r="C1" s="61"/>
      <c r="D1" s="61"/>
      <c r="E1" s="61"/>
      <c r="F1" s="61"/>
      <c r="G1" s="61"/>
      <c r="H1" s="62"/>
      <c r="I1" s="22"/>
    </row>
    <row r="2" spans="2:11" ht="15.75" thickBot="1">
      <c r="H2" s="24" t="s">
        <v>32</v>
      </c>
      <c r="I2" s="16"/>
    </row>
    <row r="3" spans="2:11" ht="21.75" thickBot="1">
      <c r="B3" s="63" t="s">
        <v>30</v>
      </c>
      <c r="C3" s="64"/>
      <c r="D3" s="64"/>
      <c r="E3" s="64"/>
      <c r="F3" s="64"/>
      <c r="G3" s="64"/>
      <c r="H3" s="65"/>
      <c r="I3" s="23"/>
      <c r="J3" s="13"/>
      <c r="K3" s="13"/>
    </row>
    <row r="4" spans="2:11" ht="18.75">
      <c r="B4" s="1"/>
      <c r="C4" s="1"/>
      <c r="D4" s="15"/>
      <c r="E4" s="1"/>
      <c r="F4" s="1"/>
      <c r="G4" s="1"/>
      <c r="H4" s="1"/>
      <c r="I4" s="1"/>
      <c r="J4" s="1"/>
      <c r="K4" s="13"/>
    </row>
    <row r="5" spans="2:11" ht="18.75">
      <c r="B5" s="49" t="s">
        <v>46</v>
      </c>
      <c r="C5" s="50">
        <v>2013</v>
      </c>
      <c r="D5" s="15"/>
      <c r="E5" s="13"/>
      <c r="F5" s="13"/>
      <c r="G5" s="13"/>
      <c r="H5" s="1"/>
      <c r="I5" s="1"/>
      <c r="J5" s="1"/>
      <c r="K5" s="13"/>
    </row>
    <row r="6" spans="2:11" ht="15.75" thickBot="1"/>
    <row r="7" spans="2:11" ht="16.5" thickBot="1">
      <c r="B7" s="66" t="s">
        <v>12</v>
      </c>
      <c r="C7" s="67"/>
      <c r="D7" s="68"/>
      <c r="F7" s="21" t="s">
        <v>48</v>
      </c>
      <c r="H7" s="21" t="s">
        <v>0</v>
      </c>
    </row>
    <row r="8" spans="2:11" ht="21.75" customHeight="1">
      <c r="B8" s="2"/>
      <c r="C8" s="2"/>
      <c r="D8" s="14"/>
    </row>
    <row r="9" spans="2:11">
      <c r="B9" s="27" t="s">
        <v>13</v>
      </c>
      <c r="C9" s="28" t="s">
        <v>14</v>
      </c>
      <c r="D9" s="29" t="s">
        <v>33</v>
      </c>
      <c r="F9" s="27" t="s">
        <v>47</v>
      </c>
      <c r="H9" s="27" t="s">
        <v>47</v>
      </c>
    </row>
    <row r="10" spans="2:11">
      <c r="B10" s="26" t="s">
        <v>36</v>
      </c>
      <c r="C10" s="30">
        <v>40909</v>
      </c>
      <c r="D10" s="17"/>
      <c r="F10" s="19" t="s">
        <v>3</v>
      </c>
      <c r="H10" s="20" t="s">
        <v>5</v>
      </c>
    </row>
    <row r="11" spans="2:11">
      <c r="B11" s="18" t="s">
        <v>34</v>
      </c>
      <c r="C11" s="31">
        <v>39457</v>
      </c>
      <c r="D11" s="34"/>
      <c r="F11" s="20" t="s">
        <v>1</v>
      </c>
      <c r="H11" s="20" t="s">
        <v>6</v>
      </c>
    </row>
    <row r="12" spans="2:11">
      <c r="B12" s="18" t="s">
        <v>39</v>
      </c>
      <c r="C12" s="31">
        <v>41255</v>
      </c>
      <c r="D12" s="34"/>
      <c r="F12" s="20" t="s">
        <v>2</v>
      </c>
      <c r="H12" s="32" t="s">
        <v>7</v>
      </c>
    </row>
    <row r="13" spans="2:11">
      <c r="B13" s="18" t="s">
        <v>52</v>
      </c>
      <c r="C13" s="31">
        <v>39816</v>
      </c>
      <c r="D13" s="34"/>
      <c r="F13" s="20" t="s">
        <v>51</v>
      </c>
    </row>
    <row r="14" spans="2:11">
      <c r="B14" s="18" t="s">
        <v>50</v>
      </c>
      <c r="C14" s="31">
        <v>41296</v>
      </c>
      <c r="D14" s="34"/>
      <c r="F14" s="32" t="s">
        <v>4</v>
      </c>
    </row>
    <row r="15" spans="2:11">
      <c r="B15" s="18" t="s">
        <v>49</v>
      </c>
      <c r="C15" s="31">
        <v>41297</v>
      </c>
      <c r="D15" s="34"/>
    </row>
    <row r="16" spans="2:11">
      <c r="B16" s="18" t="s">
        <v>40</v>
      </c>
      <c r="C16" s="31">
        <v>41275</v>
      </c>
      <c r="D16" s="25">
        <v>41319</v>
      </c>
    </row>
    <row r="17" spans="2:4">
      <c r="B17" s="18" t="s">
        <v>45</v>
      </c>
      <c r="C17" s="31">
        <v>41284</v>
      </c>
      <c r="D17" s="25">
        <v>41307</v>
      </c>
    </row>
    <row r="18" spans="2:4">
      <c r="B18" s="18" t="s">
        <v>35</v>
      </c>
      <c r="C18" s="31">
        <v>41640</v>
      </c>
      <c r="D18" s="25">
        <v>41640</v>
      </c>
    </row>
    <row r="19" spans="2:4">
      <c r="B19" s="18" t="s">
        <v>37</v>
      </c>
      <c r="C19" s="31">
        <v>41306</v>
      </c>
      <c r="D19" s="25">
        <v>41365</v>
      </c>
    </row>
    <row r="20" spans="2:4">
      <c r="B20" s="54" t="s">
        <v>15</v>
      </c>
      <c r="C20" s="55">
        <v>40544</v>
      </c>
      <c r="D20" s="56">
        <v>41307</v>
      </c>
    </row>
  </sheetData>
  <sheetProtection sheet="1" objects="1" scenarios="1"/>
  <protectedRanges>
    <protectedRange sqref="C5" name="Report Year"/>
    <protectedRange sqref="B3:H3" name="ShipName"/>
  </protectedRanges>
  <sortState ref="B10:D20">
    <sortCondition ref="B10"/>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3"/>
  <sheetViews>
    <sheetView showGridLines="0" workbookViewId="0">
      <pane xSplit="5" ySplit="2" topLeftCell="AF3" activePane="bottomRight" state="frozen"/>
      <selection pane="topRight" activeCell="F1" sqref="F1"/>
      <selection pane="bottomLeft" activeCell="A3" sqref="A3"/>
      <selection pane="bottomRight" activeCell="B3" sqref="B3:E30"/>
    </sheetView>
  </sheetViews>
  <sheetFormatPr defaultRowHeight="15"/>
  <cols>
    <col min="1" max="1" width="5.7109375" customWidth="1"/>
    <col min="2" max="2" width="15.7109375" style="18" customWidth="1"/>
    <col min="3" max="4" width="10.7109375" style="33" customWidth="1"/>
    <col min="5" max="5" width="77.7109375" style="53" customWidth="1"/>
  </cols>
  <sheetData>
    <row r="1" spans="2:26" ht="21.75" thickBot="1">
      <c r="B1" s="63" t="s">
        <v>30</v>
      </c>
      <c r="C1" s="64"/>
      <c r="D1" s="64"/>
      <c r="E1" s="65"/>
      <c r="Z1">
        <v>2013</v>
      </c>
    </row>
    <row r="2" spans="2:26">
      <c r="B2" s="37" t="s">
        <v>8</v>
      </c>
      <c r="C2" s="38" t="s">
        <v>9</v>
      </c>
      <c r="D2" s="38" t="s">
        <v>10</v>
      </c>
      <c r="E2" s="51" t="s">
        <v>11</v>
      </c>
    </row>
    <row r="3" spans="2:26">
      <c r="B3" s="35"/>
      <c r="C3" s="36"/>
      <c r="D3" s="36"/>
      <c r="E3" s="52"/>
    </row>
  </sheetData>
  <protectedRanges>
    <protectedRange sqref="B1" name="ShipName"/>
  </protectedRanges>
  <mergeCells count="1">
    <mergeCell ref="B1:E1"/>
  </mergeCells>
  <dataValidations count="1">
    <dataValidation type="list" allowBlank="1" showInputMessage="1" showErrorMessage="1" sqref="B1 B3:B1048576">
      <formula1>ShipActivity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tabSelected="1" workbookViewId="0">
      <pane xSplit="6" ySplit="2" topLeftCell="G3" activePane="bottomRight" state="frozen"/>
      <selection pane="topRight" activeCell="G1" sqref="G1"/>
      <selection pane="bottomLeft" activeCell="A3" sqref="A3"/>
      <selection pane="bottomRight" activeCell="E6" sqref="E6"/>
    </sheetView>
  </sheetViews>
  <sheetFormatPr defaultRowHeight="15"/>
  <cols>
    <col min="1" max="1" width="5.7109375" customWidth="1"/>
    <col min="2" max="2" width="15.7109375" style="18" customWidth="1"/>
    <col min="3" max="3" width="15.7109375" style="39" customWidth="1"/>
    <col min="4" max="5" width="10.7109375" style="33" customWidth="1"/>
    <col min="6" max="6" width="62.28515625" style="53" customWidth="1"/>
  </cols>
  <sheetData>
    <row r="1" spans="2:26" ht="19.5" thickBot="1">
      <c r="B1" s="63" t="s">
        <v>12</v>
      </c>
      <c r="C1" s="64"/>
      <c r="D1" s="64"/>
      <c r="E1" s="64"/>
      <c r="F1" s="65"/>
      <c r="Z1">
        <v>2013</v>
      </c>
    </row>
    <row r="2" spans="2:26">
      <c r="B2" s="37" t="s">
        <v>13</v>
      </c>
      <c r="C2" s="37" t="s">
        <v>16</v>
      </c>
      <c r="D2" s="38" t="s">
        <v>9</v>
      </c>
      <c r="E2" s="38" t="s">
        <v>10</v>
      </c>
      <c r="F2" s="51" t="s">
        <v>11</v>
      </c>
    </row>
    <row r="3" spans="2:26">
      <c r="B3" s="35" t="s">
        <v>36</v>
      </c>
      <c r="C3" s="40" t="s">
        <v>5</v>
      </c>
      <c r="D3" s="36">
        <v>41263</v>
      </c>
      <c r="E3" s="36">
        <v>41289</v>
      </c>
      <c r="F3" s="52" t="s">
        <v>41</v>
      </c>
    </row>
    <row r="4" spans="2:26">
      <c r="B4" s="18" t="s">
        <v>36</v>
      </c>
      <c r="C4" s="39" t="s">
        <v>6</v>
      </c>
      <c r="D4" s="33">
        <v>41297</v>
      </c>
      <c r="E4" s="33">
        <v>41304</v>
      </c>
      <c r="F4" s="53" t="s">
        <v>42</v>
      </c>
    </row>
    <row r="5" spans="2:26">
      <c r="B5" s="18" t="s">
        <v>39</v>
      </c>
      <c r="C5" s="39" t="s">
        <v>5</v>
      </c>
      <c r="D5" s="33">
        <v>41302</v>
      </c>
      <c r="E5" s="33">
        <v>41309</v>
      </c>
      <c r="F5" s="53" t="s">
        <v>43</v>
      </c>
    </row>
    <row r="6" spans="2:26">
      <c r="B6" s="18" t="s">
        <v>40</v>
      </c>
      <c r="C6" s="39" t="s">
        <v>6</v>
      </c>
      <c r="D6" s="33">
        <v>41336</v>
      </c>
      <c r="F6" s="53" t="s">
        <v>44</v>
      </c>
    </row>
    <row r="7" spans="2:26">
      <c r="B7" s="18" t="s">
        <v>45</v>
      </c>
      <c r="C7" s="39"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502"/>
  <sheetViews>
    <sheetView showGridLines="0" view="pageLayout" zoomScaleNormal="100" workbookViewId="0">
      <selection activeCell="C462" sqref="C462"/>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7" t="s">
        <v>17</v>
      </c>
      <c r="C3" s="58" t="s">
        <v>18</v>
      </c>
      <c r="D3" s="58" t="s">
        <v>19</v>
      </c>
      <c r="E3" s="58" t="s">
        <v>20</v>
      </c>
      <c r="F3" s="58" t="s">
        <v>21</v>
      </c>
      <c r="G3" s="58" t="s">
        <v>22</v>
      </c>
      <c r="H3" s="58" t="s">
        <v>23</v>
      </c>
      <c r="I3" s="58" t="s">
        <v>24</v>
      </c>
      <c r="J3" s="58" t="s">
        <v>25</v>
      </c>
      <c r="K3" s="58" t="s">
        <v>26</v>
      </c>
      <c r="L3" s="58" t="s">
        <v>27</v>
      </c>
      <c r="M3" s="59" t="s">
        <v>28</v>
      </c>
    </row>
    <row r="4" spans="1:13">
      <c r="A4" s="41">
        <v>1</v>
      </c>
      <c r="B4" s="4"/>
      <c r="C4" s="5"/>
      <c r="D4" s="5"/>
      <c r="E4" s="5"/>
      <c r="F4" s="5"/>
      <c r="G4" s="5"/>
      <c r="H4" s="5"/>
      <c r="I4" s="5"/>
      <c r="J4" s="5"/>
      <c r="K4" s="5"/>
      <c r="L4" s="5"/>
      <c r="M4" s="6"/>
    </row>
    <row r="5" spans="1:13">
      <c r="A5" s="42">
        <v>2</v>
      </c>
      <c r="B5" s="7"/>
      <c r="C5" s="8"/>
      <c r="D5" s="8"/>
      <c r="E5" s="8"/>
      <c r="F5" s="8"/>
      <c r="G5" s="8"/>
      <c r="H5" s="8"/>
      <c r="I5" s="8"/>
      <c r="J5" s="8"/>
      <c r="K5" s="8"/>
      <c r="L5" s="8"/>
      <c r="M5" s="9"/>
    </row>
    <row r="6" spans="1:13">
      <c r="A6" s="42">
        <v>3</v>
      </c>
      <c r="B6" s="7"/>
      <c r="C6" s="8"/>
      <c r="D6" s="8"/>
      <c r="E6" s="8"/>
      <c r="F6" s="8"/>
      <c r="G6" s="8"/>
      <c r="H6" s="8"/>
      <c r="I6" s="8"/>
      <c r="J6" s="8"/>
      <c r="K6" s="8"/>
      <c r="L6" s="8"/>
      <c r="M6" s="9"/>
    </row>
    <row r="7" spans="1:13">
      <c r="A7" s="42">
        <v>4</v>
      </c>
      <c r="B7" s="7"/>
      <c r="C7" s="8"/>
      <c r="D7" s="8"/>
      <c r="E7" s="8"/>
      <c r="F7" s="8"/>
      <c r="G7" s="8"/>
      <c r="H7" s="8"/>
      <c r="I7" s="8"/>
      <c r="J7" s="8"/>
      <c r="K7" s="8"/>
      <c r="L7" s="8"/>
      <c r="M7" s="9"/>
    </row>
    <row r="8" spans="1:13">
      <c r="A8" s="42">
        <v>5</v>
      </c>
      <c r="B8" s="7"/>
      <c r="C8" s="8"/>
      <c r="D8" s="8"/>
      <c r="E8" s="8"/>
      <c r="F8" s="8"/>
      <c r="G8" s="8"/>
      <c r="H8" s="8"/>
      <c r="I8" s="8"/>
      <c r="J8" s="8"/>
      <c r="K8" s="8"/>
      <c r="L8" s="8"/>
      <c r="M8" s="9"/>
    </row>
    <row r="9" spans="1:13">
      <c r="A9" s="42">
        <v>6</v>
      </c>
      <c r="B9" s="7"/>
      <c r="C9" s="8"/>
      <c r="D9" s="8"/>
      <c r="E9" s="8"/>
      <c r="F9" s="8"/>
      <c r="G9" s="8"/>
      <c r="H9" s="8"/>
      <c r="I9" s="8"/>
      <c r="J9" s="8"/>
      <c r="K9" s="8"/>
      <c r="L9" s="8"/>
      <c r="M9" s="9"/>
    </row>
    <row r="10" spans="1:13">
      <c r="A10" s="42">
        <v>7</v>
      </c>
      <c r="B10" s="7"/>
      <c r="C10" s="8"/>
      <c r="D10" s="8"/>
      <c r="E10" s="8"/>
      <c r="F10" s="8"/>
      <c r="G10" s="8"/>
      <c r="H10" s="8"/>
      <c r="I10" s="8"/>
      <c r="J10" s="8"/>
      <c r="K10" s="8"/>
      <c r="L10" s="8"/>
      <c r="M10" s="9"/>
    </row>
    <row r="11" spans="1:13">
      <c r="A11" s="42">
        <v>8</v>
      </c>
      <c r="B11" s="7"/>
      <c r="C11" s="8"/>
      <c r="D11" s="8"/>
      <c r="E11" s="8"/>
      <c r="F11" s="8"/>
      <c r="G11" s="8"/>
      <c r="H11" s="8"/>
      <c r="I11" s="8"/>
      <c r="J11" s="8"/>
      <c r="K11" s="8"/>
      <c r="L11" s="8"/>
      <c r="M11" s="9"/>
    </row>
    <row r="12" spans="1:13">
      <c r="A12" s="42">
        <v>9</v>
      </c>
      <c r="B12" s="7"/>
      <c r="C12" s="8"/>
      <c r="D12" s="8"/>
      <c r="E12" s="8"/>
      <c r="F12" s="8"/>
      <c r="G12" s="8"/>
      <c r="H12" s="8"/>
      <c r="I12" s="8"/>
      <c r="J12" s="8"/>
      <c r="K12" s="8"/>
      <c r="L12" s="8"/>
      <c r="M12" s="9"/>
    </row>
    <row r="13" spans="1:13">
      <c r="A13" s="42">
        <v>10</v>
      </c>
      <c r="B13" s="7"/>
      <c r="C13" s="8"/>
      <c r="D13" s="8"/>
      <c r="E13" s="8"/>
      <c r="F13" s="8"/>
      <c r="G13" s="8"/>
      <c r="H13" s="8"/>
      <c r="I13" s="8"/>
      <c r="J13" s="8"/>
      <c r="K13" s="8"/>
      <c r="L13" s="8"/>
      <c r="M13" s="9"/>
    </row>
    <row r="14" spans="1:13">
      <c r="A14" s="42">
        <v>11</v>
      </c>
      <c r="B14" s="7"/>
      <c r="C14" s="8"/>
      <c r="D14" s="8"/>
      <c r="E14" s="8"/>
      <c r="F14" s="8"/>
      <c r="G14" s="8"/>
      <c r="H14" s="8"/>
      <c r="I14" s="8"/>
      <c r="J14" s="8"/>
      <c r="K14" s="8"/>
      <c r="L14" s="8"/>
      <c r="M14" s="9"/>
    </row>
    <row r="15" spans="1:13">
      <c r="A15" s="42">
        <v>12</v>
      </c>
      <c r="B15" s="7"/>
      <c r="C15" s="8"/>
      <c r="D15" s="8"/>
      <c r="E15" s="8"/>
      <c r="F15" s="8"/>
      <c r="G15" s="8"/>
      <c r="H15" s="8"/>
      <c r="I15" s="8"/>
      <c r="J15" s="8"/>
      <c r="K15" s="8"/>
      <c r="L15" s="8"/>
      <c r="M15" s="9"/>
    </row>
    <row r="16" spans="1:13">
      <c r="A16" s="42">
        <v>13</v>
      </c>
      <c r="B16" s="7"/>
      <c r="C16" s="8"/>
      <c r="D16" s="8"/>
      <c r="E16" s="8"/>
      <c r="F16" s="8"/>
      <c r="G16" s="8"/>
      <c r="H16" s="8"/>
      <c r="I16" s="8"/>
      <c r="J16" s="8"/>
      <c r="K16" s="8"/>
      <c r="L16" s="8"/>
      <c r="M16" s="9"/>
    </row>
    <row r="17" spans="1:13">
      <c r="A17" s="42">
        <v>14</v>
      </c>
      <c r="B17" s="7"/>
      <c r="C17" s="8"/>
      <c r="D17" s="8"/>
      <c r="E17" s="8"/>
      <c r="F17" s="8"/>
      <c r="G17" s="8"/>
      <c r="H17" s="8"/>
      <c r="I17" s="8"/>
      <c r="J17" s="8"/>
      <c r="K17" s="8"/>
      <c r="L17" s="8"/>
      <c r="M17" s="9"/>
    </row>
    <row r="18" spans="1:13">
      <c r="A18" s="42">
        <v>15</v>
      </c>
      <c r="B18" s="7"/>
      <c r="C18" s="8"/>
      <c r="D18" s="8"/>
      <c r="E18" s="8"/>
      <c r="F18" s="8"/>
      <c r="G18" s="8"/>
      <c r="H18" s="8"/>
      <c r="I18" s="8"/>
      <c r="J18" s="8"/>
      <c r="K18" s="8"/>
      <c r="L18" s="8"/>
      <c r="M18" s="9"/>
    </row>
    <row r="19" spans="1:13">
      <c r="A19" s="42">
        <v>16</v>
      </c>
      <c r="B19" s="7"/>
      <c r="C19" s="8"/>
      <c r="D19" s="8"/>
      <c r="E19" s="8"/>
      <c r="F19" s="8"/>
      <c r="G19" s="8"/>
      <c r="H19" s="8"/>
      <c r="I19" s="8"/>
      <c r="J19" s="8"/>
      <c r="K19" s="8"/>
      <c r="L19" s="8"/>
      <c r="M19" s="9"/>
    </row>
    <row r="20" spans="1:13">
      <c r="A20" s="42">
        <v>17</v>
      </c>
      <c r="B20" s="7"/>
      <c r="C20" s="8"/>
      <c r="D20" s="8"/>
      <c r="E20" s="8"/>
      <c r="F20" s="8"/>
      <c r="G20" s="8"/>
      <c r="H20" s="8"/>
      <c r="I20" s="8"/>
      <c r="J20" s="8"/>
      <c r="K20" s="8"/>
      <c r="L20" s="8"/>
      <c r="M20" s="9"/>
    </row>
    <row r="21" spans="1:13">
      <c r="A21" s="42">
        <v>18</v>
      </c>
      <c r="B21" s="7"/>
      <c r="C21" s="8"/>
      <c r="D21" s="8"/>
      <c r="E21" s="8"/>
      <c r="F21" s="8"/>
      <c r="G21" s="8"/>
      <c r="H21" s="8"/>
      <c r="I21" s="8"/>
      <c r="J21" s="8"/>
      <c r="K21" s="8"/>
      <c r="L21" s="8"/>
      <c r="M21" s="9"/>
    </row>
    <row r="22" spans="1:13">
      <c r="A22" s="42">
        <v>19</v>
      </c>
      <c r="B22" s="7"/>
      <c r="C22" s="8"/>
      <c r="D22" s="8"/>
      <c r="E22" s="8"/>
      <c r="F22" s="8"/>
      <c r="G22" s="8"/>
      <c r="H22" s="8"/>
      <c r="I22" s="8"/>
      <c r="J22" s="8"/>
      <c r="K22" s="8"/>
      <c r="L22" s="8"/>
      <c r="M22" s="9"/>
    </row>
    <row r="23" spans="1:13">
      <c r="A23" s="42">
        <v>20</v>
      </c>
      <c r="B23" s="7"/>
      <c r="C23" s="8"/>
      <c r="D23" s="8"/>
      <c r="E23" s="8"/>
      <c r="F23" s="8"/>
      <c r="G23" s="8"/>
      <c r="H23" s="8"/>
      <c r="I23" s="8"/>
      <c r="J23" s="8"/>
      <c r="K23" s="8"/>
      <c r="L23" s="8"/>
      <c r="M23" s="9"/>
    </row>
    <row r="24" spans="1:13">
      <c r="A24" s="42">
        <v>21</v>
      </c>
      <c r="B24" s="7"/>
      <c r="C24" s="8"/>
      <c r="D24" s="8"/>
      <c r="E24" s="8"/>
      <c r="F24" s="8"/>
      <c r="G24" s="8"/>
      <c r="H24" s="8"/>
      <c r="I24" s="8"/>
      <c r="J24" s="8"/>
      <c r="K24" s="8"/>
      <c r="L24" s="8"/>
      <c r="M24" s="9"/>
    </row>
    <row r="25" spans="1:13">
      <c r="A25" s="42">
        <v>22</v>
      </c>
      <c r="B25" s="7"/>
      <c r="C25" s="8"/>
      <c r="D25" s="8"/>
      <c r="E25" s="8"/>
      <c r="F25" s="8"/>
      <c r="G25" s="8"/>
      <c r="H25" s="8"/>
      <c r="I25" s="8"/>
      <c r="J25" s="8"/>
      <c r="K25" s="8"/>
      <c r="L25" s="8"/>
      <c r="M25" s="9"/>
    </row>
    <row r="26" spans="1:13">
      <c r="A26" s="42">
        <v>23</v>
      </c>
      <c r="B26" s="7"/>
      <c r="C26" s="8"/>
      <c r="D26" s="8"/>
      <c r="E26" s="8"/>
      <c r="F26" s="8"/>
      <c r="G26" s="8"/>
      <c r="H26" s="8"/>
      <c r="I26" s="8"/>
      <c r="J26" s="8"/>
      <c r="K26" s="8"/>
      <c r="L26" s="8"/>
      <c r="M26" s="9"/>
    </row>
    <row r="27" spans="1:13">
      <c r="A27" s="42">
        <v>24</v>
      </c>
      <c r="B27" s="7"/>
      <c r="C27" s="8"/>
      <c r="D27" s="8"/>
      <c r="E27" s="8"/>
      <c r="F27" s="8"/>
      <c r="G27" s="8"/>
      <c r="H27" s="8"/>
      <c r="I27" s="8"/>
      <c r="J27" s="8"/>
      <c r="K27" s="8"/>
      <c r="L27" s="8"/>
      <c r="M27" s="9"/>
    </row>
    <row r="28" spans="1:13">
      <c r="A28" s="42">
        <v>25</v>
      </c>
      <c r="B28" s="7"/>
      <c r="C28" s="8"/>
      <c r="D28" s="8"/>
      <c r="E28" s="8"/>
      <c r="F28" s="8"/>
      <c r="G28" s="8"/>
      <c r="H28" s="8"/>
      <c r="I28" s="8"/>
      <c r="J28" s="8"/>
      <c r="K28" s="8"/>
      <c r="L28" s="8"/>
      <c r="M28" s="9"/>
    </row>
    <row r="29" spans="1:13">
      <c r="A29" s="42">
        <v>26</v>
      </c>
      <c r="B29" s="7"/>
      <c r="C29" s="8"/>
      <c r="D29" s="8"/>
      <c r="E29" s="8"/>
      <c r="F29" s="8"/>
      <c r="G29" s="8"/>
      <c r="H29" s="8"/>
      <c r="I29" s="8"/>
      <c r="J29" s="8"/>
      <c r="K29" s="8"/>
      <c r="L29" s="8"/>
      <c r="M29" s="9"/>
    </row>
    <row r="30" spans="1:13">
      <c r="A30" s="42">
        <v>27</v>
      </c>
      <c r="B30" s="7"/>
      <c r="C30" s="8"/>
      <c r="D30" s="8"/>
      <c r="E30" s="8"/>
      <c r="F30" s="8"/>
      <c r="G30" s="8"/>
      <c r="H30" s="8"/>
      <c r="I30" s="8"/>
      <c r="J30" s="8"/>
      <c r="K30" s="8"/>
      <c r="L30" s="8"/>
      <c r="M30" s="9"/>
    </row>
    <row r="31" spans="1:13">
      <c r="A31" s="42">
        <v>28</v>
      </c>
      <c r="B31" s="7"/>
      <c r="C31" s="8"/>
      <c r="D31" s="8"/>
      <c r="E31" s="8"/>
      <c r="F31" s="8"/>
      <c r="G31" s="8"/>
      <c r="H31" s="8"/>
      <c r="I31" s="8"/>
      <c r="J31" s="8"/>
      <c r="K31" s="8"/>
      <c r="L31" s="8"/>
      <c r="M31" s="9"/>
    </row>
    <row r="32" spans="1:13">
      <c r="A32" s="42">
        <v>29</v>
      </c>
      <c r="B32" s="7"/>
      <c r="C32" s="8"/>
      <c r="D32" s="8"/>
      <c r="E32" s="8"/>
      <c r="F32" s="8"/>
      <c r="G32" s="8"/>
      <c r="H32" s="8"/>
      <c r="I32" s="8"/>
      <c r="J32" s="8"/>
      <c r="K32" s="8"/>
      <c r="L32" s="8"/>
      <c r="M32" s="9"/>
    </row>
    <row r="33" spans="1:13">
      <c r="A33" s="42">
        <v>30</v>
      </c>
      <c r="B33" s="7"/>
      <c r="C33" s="8"/>
      <c r="D33" s="8"/>
      <c r="E33" s="8"/>
      <c r="F33" s="8"/>
      <c r="G33" s="8"/>
      <c r="H33" s="8"/>
      <c r="I33" s="8"/>
      <c r="J33" s="8"/>
      <c r="K33" s="8"/>
      <c r="L33" s="8"/>
      <c r="M33" s="9"/>
    </row>
    <row r="34" spans="1:13">
      <c r="A34" s="43">
        <v>31</v>
      </c>
      <c r="B34" s="10"/>
      <c r="C34" s="11"/>
      <c r="D34" s="11"/>
      <c r="E34" s="11"/>
      <c r="F34" s="11"/>
      <c r="G34" s="11"/>
      <c r="H34" s="11"/>
      <c r="I34" s="11"/>
      <c r="J34" s="11"/>
      <c r="K34" s="11"/>
      <c r="L34" s="11"/>
      <c r="M34" s="12"/>
    </row>
    <row r="36" spans="1:13" ht="15.75">
      <c r="A36" s="72" t="s">
        <v>29</v>
      </c>
      <c r="B36" s="72"/>
      <c r="C36" s="72"/>
      <c r="D36" s="72"/>
      <c r="E36" s="72"/>
      <c r="F36" s="72"/>
      <c r="G36" s="72"/>
      <c r="H36" s="72"/>
      <c r="I36" s="72"/>
      <c r="J36" s="72"/>
      <c r="K36" s="72"/>
      <c r="L36" s="72"/>
      <c r="M36" s="72"/>
    </row>
    <row r="37" spans="1:13">
      <c r="B37" s="57" t="s">
        <v>17</v>
      </c>
      <c r="C37" s="58" t="s">
        <v>18</v>
      </c>
      <c r="D37" s="58" t="s">
        <v>19</v>
      </c>
      <c r="E37" s="58" t="s">
        <v>20</v>
      </c>
      <c r="F37" s="58" t="s">
        <v>21</v>
      </c>
      <c r="G37" s="58" t="s">
        <v>22</v>
      </c>
      <c r="H37" s="58" t="s">
        <v>23</v>
      </c>
      <c r="I37" s="58" t="s">
        <v>24</v>
      </c>
      <c r="J37" s="58" t="s">
        <v>25</v>
      </c>
      <c r="K37" s="58" t="s">
        <v>26</v>
      </c>
      <c r="L37" s="58" t="s">
        <v>27</v>
      </c>
      <c r="M37" s="59" t="s">
        <v>28</v>
      </c>
    </row>
    <row r="38" spans="1:13">
      <c r="A38" s="41"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2"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2"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2"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3"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0</v>
      </c>
      <c r="L42" s="11">
        <f>COUNTIF($L$4:$L$35,"Yard")</f>
        <v>0</v>
      </c>
      <c r="M42" s="12">
        <f>COUNTIF($M$4:$M$35,"Yard")</f>
        <v>0</v>
      </c>
    </row>
    <row r="43" spans="1:13" ht="15.75" thickBot="1"/>
    <row r="44" spans="1:13" ht="18.75" thickBot="1">
      <c r="A44" s="69" t="s">
        <v>36</v>
      </c>
      <c r="B44" s="70"/>
      <c r="C44" s="70"/>
      <c r="D44" s="70"/>
      <c r="E44" s="70"/>
      <c r="F44" s="70"/>
      <c r="G44" s="70"/>
      <c r="H44" s="70"/>
      <c r="I44" s="70"/>
      <c r="J44" s="70"/>
      <c r="K44" s="70"/>
      <c r="L44" s="70"/>
      <c r="M44" s="71"/>
    </row>
    <row r="46" spans="1:13">
      <c r="B46" s="57" t="s">
        <v>17</v>
      </c>
      <c r="C46" s="58" t="s">
        <v>18</v>
      </c>
      <c r="D46" s="58" t="s">
        <v>19</v>
      </c>
      <c r="E46" s="58" t="s">
        <v>20</v>
      </c>
      <c r="F46" s="58" t="s">
        <v>21</v>
      </c>
      <c r="G46" s="58" t="s">
        <v>22</v>
      </c>
      <c r="H46" s="58" t="s">
        <v>23</v>
      </c>
      <c r="I46" s="58" t="s">
        <v>24</v>
      </c>
      <c r="J46" s="58" t="s">
        <v>25</v>
      </c>
      <c r="K46" s="58" t="s">
        <v>26</v>
      </c>
      <c r="L46" s="58" t="s">
        <v>27</v>
      </c>
      <c r="M46" s="59" t="s">
        <v>28</v>
      </c>
    </row>
    <row r="47" spans="1:13">
      <c r="A47" s="41">
        <v>1</v>
      </c>
      <c r="B47" s="44" t="s">
        <v>5</v>
      </c>
      <c r="C47" s="5"/>
      <c r="D47" s="5"/>
      <c r="E47" s="5"/>
      <c r="F47" s="5"/>
      <c r="G47" s="5"/>
      <c r="H47" s="5"/>
      <c r="I47" s="5"/>
      <c r="J47" s="5"/>
      <c r="K47" s="5"/>
      <c r="L47" s="5"/>
      <c r="M47" s="6"/>
    </row>
    <row r="48" spans="1:13">
      <c r="A48" s="42">
        <v>2</v>
      </c>
      <c r="B48" s="45" t="s">
        <v>5</v>
      </c>
      <c r="C48" s="8"/>
      <c r="D48" s="8"/>
      <c r="E48" s="8"/>
      <c r="F48" s="8"/>
      <c r="G48" s="8"/>
      <c r="H48" s="8"/>
      <c r="I48" s="8"/>
      <c r="J48" s="8"/>
      <c r="K48" s="8"/>
      <c r="L48" s="8"/>
      <c r="M48" s="9"/>
    </row>
    <row r="49" spans="1:13">
      <c r="A49" s="42">
        <v>3</v>
      </c>
      <c r="B49" s="45" t="s">
        <v>5</v>
      </c>
      <c r="C49" s="8"/>
      <c r="D49" s="8"/>
      <c r="E49" s="8"/>
      <c r="F49" s="8"/>
      <c r="G49" s="8"/>
      <c r="H49" s="8"/>
      <c r="I49" s="8"/>
      <c r="J49" s="8"/>
      <c r="K49" s="8"/>
      <c r="L49" s="8"/>
      <c r="M49" s="9"/>
    </row>
    <row r="50" spans="1:13">
      <c r="A50" s="42">
        <v>4</v>
      </c>
      <c r="B50" s="45" t="s">
        <v>5</v>
      </c>
      <c r="C50" s="8"/>
      <c r="D50" s="8"/>
      <c r="E50" s="8"/>
      <c r="F50" s="8"/>
      <c r="G50" s="8"/>
      <c r="H50" s="8"/>
      <c r="I50" s="8"/>
      <c r="J50" s="8"/>
      <c r="K50" s="8"/>
      <c r="L50" s="8"/>
      <c r="M50" s="9"/>
    </row>
    <row r="51" spans="1:13">
      <c r="A51" s="42">
        <v>5</v>
      </c>
      <c r="B51" s="45" t="s">
        <v>5</v>
      </c>
      <c r="C51" s="8"/>
      <c r="D51" s="8"/>
      <c r="E51" s="8"/>
      <c r="F51" s="8"/>
      <c r="G51" s="8"/>
      <c r="H51" s="8"/>
      <c r="I51" s="8"/>
      <c r="J51" s="8"/>
      <c r="K51" s="8"/>
      <c r="L51" s="8"/>
      <c r="M51" s="9"/>
    </row>
    <row r="52" spans="1:13">
      <c r="A52" s="42">
        <v>6</v>
      </c>
      <c r="B52" s="45" t="s">
        <v>5</v>
      </c>
      <c r="C52" s="8"/>
      <c r="D52" s="8"/>
      <c r="E52" s="8"/>
      <c r="F52" s="8"/>
      <c r="G52" s="8"/>
      <c r="H52" s="8"/>
      <c r="I52" s="8"/>
      <c r="J52" s="8"/>
      <c r="K52" s="8"/>
      <c r="L52" s="8"/>
      <c r="M52" s="9"/>
    </row>
    <row r="53" spans="1:13">
      <c r="A53" s="42">
        <v>7</v>
      </c>
      <c r="B53" s="45" t="s">
        <v>5</v>
      </c>
      <c r="C53" s="8"/>
      <c r="D53" s="8"/>
      <c r="E53" s="8"/>
      <c r="F53" s="8"/>
      <c r="G53" s="8"/>
      <c r="H53" s="8"/>
      <c r="I53" s="8"/>
      <c r="J53" s="8"/>
      <c r="K53" s="8"/>
      <c r="L53" s="8"/>
      <c r="M53" s="9"/>
    </row>
    <row r="54" spans="1:13">
      <c r="A54" s="42">
        <v>8</v>
      </c>
      <c r="B54" s="45" t="s">
        <v>5</v>
      </c>
      <c r="C54" s="8"/>
      <c r="D54" s="8"/>
      <c r="E54" s="8"/>
      <c r="F54" s="8"/>
      <c r="G54" s="8"/>
      <c r="H54" s="8"/>
      <c r="I54" s="8"/>
      <c r="J54" s="8"/>
      <c r="K54" s="8"/>
      <c r="L54" s="8"/>
      <c r="M54" s="9"/>
    </row>
    <row r="55" spans="1:13">
      <c r="A55" s="42">
        <v>9</v>
      </c>
      <c r="B55" s="45" t="s">
        <v>5</v>
      </c>
      <c r="C55" s="8"/>
      <c r="D55" s="8"/>
      <c r="E55" s="8"/>
      <c r="F55" s="8"/>
      <c r="G55" s="8"/>
      <c r="H55" s="8"/>
      <c r="I55" s="8"/>
      <c r="J55" s="8"/>
      <c r="K55" s="8"/>
      <c r="L55" s="8"/>
      <c r="M55" s="9"/>
    </row>
    <row r="56" spans="1:13">
      <c r="A56" s="42">
        <v>10</v>
      </c>
      <c r="B56" s="45" t="s">
        <v>5</v>
      </c>
      <c r="C56" s="8"/>
      <c r="D56" s="8"/>
      <c r="E56" s="8"/>
      <c r="F56" s="8"/>
      <c r="G56" s="8"/>
      <c r="H56" s="8"/>
      <c r="I56" s="8"/>
      <c r="J56" s="8"/>
      <c r="K56" s="8"/>
      <c r="L56" s="8"/>
      <c r="M56" s="9"/>
    </row>
    <row r="57" spans="1:13">
      <c r="A57" s="42">
        <v>11</v>
      </c>
      <c r="B57" s="45" t="s">
        <v>5</v>
      </c>
      <c r="C57" s="8"/>
      <c r="D57" s="8"/>
      <c r="E57" s="8"/>
      <c r="F57" s="8"/>
      <c r="G57" s="8"/>
      <c r="H57" s="8"/>
      <c r="I57" s="8"/>
      <c r="J57" s="8"/>
      <c r="K57" s="8"/>
      <c r="L57" s="8"/>
      <c r="M57" s="9"/>
    </row>
    <row r="58" spans="1:13">
      <c r="A58" s="42">
        <v>12</v>
      </c>
      <c r="B58" s="45" t="s">
        <v>5</v>
      </c>
      <c r="C58" s="8"/>
      <c r="D58" s="8"/>
      <c r="E58" s="8"/>
      <c r="F58" s="8"/>
      <c r="G58" s="8"/>
      <c r="H58" s="8"/>
      <c r="I58" s="8"/>
      <c r="J58" s="8"/>
      <c r="K58" s="8"/>
      <c r="L58" s="8"/>
      <c r="M58" s="9"/>
    </row>
    <row r="59" spans="1:13">
      <c r="A59" s="42">
        <v>13</v>
      </c>
      <c r="B59" s="45" t="s">
        <v>5</v>
      </c>
      <c r="C59" s="8"/>
      <c r="D59" s="8"/>
      <c r="E59" s="8"/>
      <c r="F59" s="8"/>
      <c r="G59" s="8"/>
      <c r="H59" s="8"/>
      <c r="I59" s="8"/>
      <c r="J59" s="8"/>
      <c r="K59" s="8"/>
      <c r="L59" s="8"/>
      <c r="M59" s="9"/>
    </row>
    <row r="60" spans="1:13">
      <c r="A60" s="42">
        <v>14</v>
      </c>
      <c r="B60" s="45" t="s">
        <v>5</v>
      </c>
      <c r="C60" s="8"/>
      <c r="D60" s="8"/>
      <c r="E60" s="8"/>
      <c r="F60" s="8"/>
      <c r="G60" s="8"/>
      <c r="H60" s="8"/>
      <c r="I60" s="8"/>
      <c r="J60" s="8"/>
      <c r="K60" s="8"/>
      <c r="L60" s="8"/>
      <c r="M60" s="9"/>
    </row>
    <row r="61" spans="1:13">
      <c r="A61" s="42">
        <v>15</v>
      </c>
      <c r="B61" s="45" t="s">
        <v>5</v>
      </c>
      <c r="C61" s="8"/>
      <c r="D61" s="8"/>
      <c r="E61" s="8"/>
      <c r="F61" s="8"/>
      <c r="G61" s="8"/>
      <c r="H61" s="8"/>
      <c r="I61" s="8"/>
      <c r="J61" s="8"/>
      <c r="K61" s="8"/>
      <c r="L61" s="8"/>
      <c r="M61" s="9"/>
    </row>
    <row r="62" spans="1:13">
      <c r="A62" s="42">
        <v>16</v>
      </c>
      <c r="B62" s="7"/>
      <c r="C62" s="8"/>
      <c r="D62" s="8"/>
      <c r="E62" s="8"/>
      <c r="F62" s="8"/>
      <c r="G62" s="8"/>
      <c r="H62" s="8"/>
      <c r="I62" s="8"/>
      <c r="J62" s="8"/>
      <c r="K62" s="8"/>
      <c r="L62" s="8"/>
      <c r="M62" s="9"/>
    </row>
    <row r="63" spans="1:13">
      <c r="A63" s="42">
        <v>17</v>
      </c>
      <c r="B63" s="7"/>
      <c r="C63" s="8"/>
      <c r="D63" s="8"/>
      <c r="E63" s="8"/>
      <c r="F63" s="8"/>
      <c r="G63" s="8"/>
      <c r="H63" s="8"/>
      <c r="I63" s="8"/>
      <c r="J63" s="8"/>
      <c r="K63" s="8"/>
      <c r="L63" s="8"/>
      <c r="M63" s="9"/>
    </row>
    <row r="64" spans="1:13">
      <c r="A64" s="42">
        <v>18</v>
      </c>
      <c r="B64" s="7"/>
      <c r="C64" s="8"/>
      <c r="D64" s="8"/>
      <c r="E64" s="8"/>
      <c r="F64" s="8"/>
      <c r="G64" s="8"/>
      <c r="H64" s="8"/>
      <c r="I64" s="8"/>
      <c r="J64" s="8"/>
      <c r="K64" s="8"/>
      <c r="L64" s="8"/>
      <c r="M64" s="9"/>
    </row>
    <row r="65" spans="1:13">
      <c r="A65" s="42">
        <v>19</v>
      </c>
      <c r="B65" s="7"/>
      <c r="C65" s="8"/>
      <c r="D65" s="8"/>
      <c r="E65" s="8"/>
      <c r="F65" s="8"/>
      <c r="G65" s="8"/>
      <c r="H65" s="8"/>
      <c r="I65" s="8"/>
      <c r="J65" s="8"/>
      <c r="K65" s="8"/>
      <c r="L65" s="8"/>
      <c r="M65" s="9"/>
    </row>
    <row r="66" spans="1:13">
      <c r="A66" s="42">
        <v>20</v>
      </c>
      <c r="B66" s="7"/>
      <c r="C66" s="8"/>
      <c r="D66" s="8"/>
      <c r="E66" s="8"/>
      <c r="F66" s="8"/>
      <c r="G66" s="8"/>
      <c r="H66" s="8"/>
      <c r="I66" s="8"/>
      <c r="J66" s="8"/>
      <c r="K66" s="8"/>
      <c r="L66" s="8"/>
      <c r="M66" s="9"/>
    </row>
    <row r="67" spans="1:13">
      <c r="A67" s="42">
        <v>21</v>
      </c>
      <c r="B67" s="7"/>
      <c r="C67" s="8"/>
      <c r="D67" s="8"/>
      <c r="E67" s="8"/>
      <c r="F67" s="8"/>
      <c r="G67" s="8"/>
      <c r="H67" s="8"/>
      <c r="I67" s="8"/>
      <c r="J67" s="8"/>
      <c r="K67" s="8"/>
      <c r="L67" s="8"/>
      <c r="M67" s="9"/>
    </row>
    <row r="68" spans="1:13">
      <c r="A68" s="42">
        <v>22</v>
      </c>
      <c r="B68" s="7"/>
      <c r="C68" s="8"/>
      <c r="D68" s="8"/>
      <c r="E68" s="8"/>
      <c r="F68" s="8"/>
      <c r="G68" s="8"/>
      <c r="H68" s="8"/>
      <c r="I68" s="8"/>
      <c r="J68" s="8"/>
      <c r="K68" s="8"/>
      <c r="L68" s="8"/>
      <c r="M68" s="9"/>
    </row>
    <row r="69" spans="1:13">
      <c r="A69" s="42">
        <v>23</v>
      </c>
      <c r="B69" s="45" t="s">
        <v>6</v>
      </c>
      <c r="C69" s="8"/>
      <c r="D69" s="8"/>
      <c r="E69" s="8"/>
      <c r="F69" s="8"/>
      <c r="G69" s="8"/>
      <c r="H69" s="8"/>
      <c r="I69" s="8"/>
      <c r="J69" s="8"/>
      <c r="K69" s="8"/>
      <c r="L69" s="8"/>
      <c r="M69" s="9"/>
    </row>
    <row r="70" spans="1:13">
      <c r="A70" s="42">
        <v>24</v>
      </c>
      <c r="B70" s="45" t="s">
        <v>6</v>
      </c>
      <c r="C70" s="8"/>
      <c r="D70" s="8"/>
      <c r="E70" s="8"/>
      <c r="F70" s="8"/>
      <c r="G70" s="8"/>
      <c r="H70" s="8"/>
      <c r="I70" s="8"/>
      <c r="J70" s="8"/>
      <c r="K70" s="8"/>
      <c r="L70" s="8"/>
      <c r="M70" s="9"/>
    </row>
    <row r="71" spans="1:13">
      <c r="A71" s="42">
        <v>25</v>
      </c>
      <c r="B71" s="45" t="s">
        <v>6</v>
      </c>
      <c r="C71" s="8"/>
      <c r="D71" s="8"/>
      <c r="E71" s="8"/>
      <c r="F71" s="8"/>
      <c r="G71" s="8"/>
      <c r="H71" s="8"/>
      <c r="I71" s="8"/>
      <c r="J71" s="8"/>
      <c r="K71" s="8"/>
      <c r="L71" s="8"/>
      <c r="M71" s="9"/>
    </row>
    <row r="72" spans="1:13">
      <c r="A72" s="42">
        <v>26</v>
      </c>
      <c r="B72" s="45" t="s">
        <v>6</v>
      </c>
      <c r="C72" s="8"/>
      <c r="D72" s="8"/>
      <c r="E72" s="8"/>
      <c r="F72" s="8"/>
      <c r="G72" s="8"/>
      <c r="H72" s="8"/>
      <c r="I72" s="8"/>
      <c r="J72" s="8"/>
      <c r="K72" s="8"/>
      <c r="L72" s="8"/>
      <c r="M72" s="9"/>
    </row>
    <row r="73" spans="1:13">
      <c r="A73" s="42">
        <v>27</v>
      </c>
      <c r="B73" s="45" t="s">
        <v>6</v>
      </c>
      <c r="C73" s="8"/>
      <c r="D73" s="8"/>
      <c r="E73" s="8"/>
      <c r="F73" s="8"/>
      <c r="G73" s="8"/>
      <c r="H73" s="8"/>
      <c r="I73" s="8"/>
      <c r="J73" s="8"/>
      <c r="K73" s="8"/>
      <c r="L73" s="8"/>
      <c r="M73" s="9"/>
    </row>
    <row r="74" spans="1:13">
      <c r="A74" s="42">
        <v>28</v>
      </c>
      <c r="B74" s="45" t="s">
        <v>6</v>
      </c>
      <c r="C74" s="8"/>
      <c r="D74" s="8"/>
      <c r="E74" s="8"/>
      <c r="F74" s="8"/>
      <c r="G74" s="8"/>
      <c r="H74" s="8"/>
      <c r="I74" s="8"/>
      <c r="J74" s="8"/>
      <c r="K74" s="8"/>
      <c r="L74" s="8"/>
      <c r="M74" s="9"/>
    </row>
    <row r="75" spans="1:13">
      <c r="A75" s="42">
        <v>29</v>
      </c>
      <c r="B75" s="45" t="s">
        <v>6</v>
      </c>
      <c r="C75" s="8"/>
      <c r="D75" s="8"/>
      <c r="E75" s="8"/>
      <c r="F75" s="8"/>
      <c r="G75" s="8"/>
      <c r="H75" s="8"/>
      <c r="I75" s="8"/>
      <c r="J75" s="8"/>
      <c r="K75" s="8"/>
      <c r="L75" s="8"/>
      <c r="M75" s="9"/>
    </row>
    <row r="76" spans="1:13">
      <c r="A76" s="42">
        <v>30</v>
      </c>
      <c r="B76" s="45" t="s">
        <v>6</v>
      </c>
      <c r="C76" s="8"/>
      <c r="D76" s="8"/>
      <c r="E76" s="8"/>
      <c r="F76" s="8"/>
      <c r="G76" s="8"/>
      <c r="H76" s="8"/>
      <c r="I76" s="8"/>
      <c r="J76" s="8"/>
      <c r="K76" s="8"/>
      <c r="L76" s="8"/>
      <c r="M76" s="9"/>
    </row>
    <row r="77" spans="1:13">
      <c r="A77" s="43">
        <v>31</v>
      </c>
      <c r="B77" s="10"/>
      <c r="C77" s="11"/>
      <c r="D77" s="11"/>
      <c r="E77" s="11"/>
      <c r="F77" s="11"/>
      <c r="G77" s="11"/>
      <c r="H77" s="11"/>
      <c r="I77" s="11"/>
      <c r="J77" s="11"/>
      <c r="K77" s="11"/>
      <c r="L77" s="11"/>
      <c r="M77" s="12"/>
    </row>
    <row r="79" spans="1:13" ht="15.75">
      <c r="A79" s="72" t="s">
        <v>29</v>
      </c>
      <c r="B79" s="72"/>
      <c r="C79" s="72"/>
      <c r="D79" s="72"/>
      <c r="E79" s="72"/>
      <c r="F79" s="72"/>
      <c r="G79" s="72"/>
      <c r="H79" s="72"/>
      <c r="I79" s="72"/>
      <c r="J79" s="72"/>
      <c r="K79" s="72"/>
      <c r="L79" s="72"/>
      <c r="M79" s="72"/>
    </row>
    <row r="80" spans="1:13">
      <c r="B80" s="57" t="s">
        <v>17</v>
      </c>
      <c r="C80" s="58" t="s">
        <v>18</v>
      </c>
      <c r="D80" s="58" t="s">
        <v>19</v>
      </c>
      <c r="E80" s="58" t="s">
        <v>20</v>
      </c>
      <c r="F80" s="58" t="s">
        <v>21</v>
      </c>
      <c r="G80" s="58" t="s">
        <v>22</v>
      </c>
      <c r="H80" s="58" t="s">
        <v>23</v>
      </c>
      <c r="I80" s="58" t="s">
        <v>24</v>
      </c>
      <c r="J80" s="58" t="s">
        <v>25</v>
      </c>
      <c r="K80" s="58" t="s">
        <v>26</v>
      </c>
      <c r="L80" s="58" t="s">
        <v>27</v>
      </c>
      <c r="M80" s="59" t="s">
        <v>28</v>
      </c>
    </row>
    <row r="81" spans="1:13">
      <c r="A81" s="41"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2"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0</v>
      </c>
    </row>
    <row r="83" spans="1:13">
      <c r="A83" s="42"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2"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2"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0</v>
      </c>
      <c r="L85" s="8">
        <f>COUNTIF($L$46:$L$77,"Yard")</f>
        <v>0</v>
      </c>
      <c r="M85" s="9">
        <f>COUNTIF($M$46:$M$77,"Yard")</f>
        <v>0</v>
      </c>
    </row>
    <row r="86" spans="1:13">
      <c r="A86" s="42" t="s">
        <v>5</v>
      </c>
      <c r="B86" s="7">
        <f>COUNTIF($B$46:$B$77,"Holiday")</f>
        <v>15</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2" t="s">
        <v>6</v>
      </c>
      <c r="B87" s="7">
        <f>COUNTIF($B$46:$B$77,"Sick")</f>
        <v>8</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3"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69" t="s">
        <v>34</v>
      </c>
      <c r="B90" s="70"/>
      <c r="C90" s="70"/>
      <c r="D90" s="70"/>
      <c r="E90" s="70"/>
      <c r="F90" s="70"/>
      <c r="G90" s="70"/>
      <c r="H90" s="70"/>
      <c r="I90" s="70"/>
      <c r="J90" s="70"/>
      <c r="K90" s="70"/>
      <c r="L90" s="70"/>
      <c r="M90" s="71"/>
    </row>
    <row r="92" spans="1:13">
      <c r="B92" s="57" t="s">
        <v>17</v>
      </c>
      <c r="C92" s="58" t="s">
        <v>18</v>
      </c>
      <c r="D92" s="58" t="s">
        <v>19</v>
      </c>
      <c r="E92" s="58" t="s">
        <v>20</v>
      </c>
      <c r="F92" s="58" t="s">
        <v>21</v>
      </c>
      <c r="G92" s="58" t="s">
        <v>22</v>
      </c>
      <c r="H92" s="58" t="s">
        <v>23</v>
      </c>
      <c r="I92" s="58" t="s">
        <v>24</v>
      </c>
      <c r="J92" s="58" t="s">
        <v>25</v>
      </c>
      <c r="K92" s="58" t="s">
        <v>26</v>
      </c>
      <c r="L92" s="58" t="s">
        <v>27</v>
      </c>
      <c r="M92" s="59" t="s">
        <v>28</v>
      </c>
    </row>
    <row r="93" spans="1:13">
      <c r="A93" s="41">
        <v>1</v>
      </c>
      <c r="B93" s="4"/>
      <c r="C93" s="5"/>
      <c r="D93" s="5"/>
      <c r="E93" s="5"/>
      <c r="F93" s="5"/>
      <c r="G93" s="5"/>
      <c r="H93" s="5"/>
      <c r="I93" s="5"/>
      <c r="J93" s="5"/>
      <c r="K93" s="5"/>
      <c r="L93" s="5"/>
      <c r="M93" s="6"/>
    </row>
    <row r="94" spans="1:13">
      <c r="A94" s="42">
        <v>2</v>
      </c>
      <c r="B94" s="7"/>
      <c r="C94" s="8"/>
      <c r="D94" s="8"/>
      <c r="E94" s="8"/>
      <c r="F94" s="8"/>
      <c r="G94" s="8"/>
      <c r="H94" s="8"/>
      <c r="I94" s="8"/>
      <c r="J94" s="8"/>
      <c r="K94" s="8"/>
      <c r="L94" s="8"/>
      <c r="M94" s="9"/>
    </row>
    <row r="95" spans="1:13">
      <c r="A95" s="42">
        <v>3</v>
      </c>
      <c r="B95" s="7"/>
      <c r="C95" s="8"/>
      <c r="D95" s="8"/>
      <c r="E95" s="8"/>
      <c r="F95" s="8"/>
      <c r="G95" s="8"/>
      <c r="H95" s="8"/>
      <c r="I95" s="8"/>
      <c r="J95" s="8"/>
      <c r="K95" s="8"/>
      <c r="L95" s="8"/>
      <c r="M95" s="9"/>
    </row>
    <row r="96" spans="1:13">
      <c r="A96" s="42">
        <v>4</v>
      </c>
      <c r="B96" s="7"/>
      <c r="C96" s="8"/>
      <c r="D96" s="8"/>
      <c r="E96" s="8"/>
      <c r="F96" s="8"/>
      <c r="G96" s="8"/>
      <c r="H96" s="8"/>
      <c r="I96" s="8"/>
      <c r="J96" s="8"/>
      <c r="K96" s="8"/>
      <c r="L96" s="8"/>
      <c r="M96" s="9"/>
    </row>
    <row r="97" spans="1:13">
      <c r="A97" s="42">
        <v>5</v>
      </c>
      <c r="B97" s="7"/>
      <c r="C97" s="8"/>
      <c r="D97" s="8"/>
      <c r="E97" s="8"/>
      <c r="F97" s="8"/>
      <c r="G97" s="8"/>
      <c r="H97" s="8"/>
      <c r="I97" s="8"/>
      <c r="J97" s="8"/>
      <c r="K97" s="8"/>
      <c r="L97" s="8"/>
      <c r="M97" s="9"/>
    </row>
    <row r="98" spans="1:13">
      <c r="A98" s="42">
        <v>6</v>
      </c>
      <c r="B98" s="7"/>
      <c r="C98" s="8"/>
      <c r="D98" s="8"/>
      <c r="E98" s="8"/>
      <c r="F98" s="8"/>
      <c r="G98" s="8"/>
      <c r="H98" s="8"/>
      <c r="I98" s="8"/>
      <c r="J98" s="8"/>
      <c r="K98" s="8"/>
      <c r="L98" s="8"/>
      <c r="M98" s="9"/>
    </row>
    <row r="99" spans="1:13">
      <c r="A99" s="42">
        <v>7</v>
      </c>
      <c r="B99" s="7"/>
      <c r="C99" s="8"/>
      <c r="D99" s="8"/>
      <c r="E99" s="8"/>
      <c r="F99" s="8"/>
      <c r="G99" s="8"/>
      <c r="H99" s="8"/>
      <c r="I99" s="8"/>
      <c r="J99" s="8"/>
      <c r="K99" s="8"/>
      <c r="L99" s="8"/>
      <c r="M99" s="9"/>
    </row>
    <row r="100" spans="1:13">
      <c r="A100" s="42">
        <v>8</v>
      </c>
      <c r="B100" s="7"/>
      <c r="C100" s="8"/>
      <c r="D100" s="8"/>
      <c r="E100" s="8"/>
      <c r="F100" s="8"/>
      <c r="G100" s="8"/>
      <c r="H100" s="8"/>
      <c r="I100" s="8"/>
      <c r="J100" s="8"/>
      <c r="K100" s="8"/>
      <c r="L100" s="8"/>
      <c r="M100" s="9"/>
    </row>
    <row r="101" spans="1:13">
      <c r="A101" s="42">
        <v>9</v>
      </c>
      <c r="B101" s="7"/>
      <c r="C101" s="8"/>
      <c r="D101" s="8"/>
      <c r="E101" s="8"/>
      <c r="F101" s="8"/>
      <c r="G101" s="8"/>
      <c r="H101" s="8"/>
      <c r="I101" s="8"/>
      <c r="J101" s="8"/>
      <c r="K101" s="8"/>
      <c r="L101" s="8"/>
      <c r="M101" s="9"/>
    </row>
    <row r="102" spans="1:13">
      <c r="A102" s="42">
        <v>10</v>
      </c>
      <c r="B102" s="7"/>
      <c r="C102" s="8"/>
      <c r="D102" s="8"/>
      <c r="E102" s="8"/>
      <c r="F102" s="8"/>
      <c r="G102" s="8"/>
      <c r="H102" s="8"/>
      <c r="I102" s="8"/>
      <c r="J102" s="8"/>
      <c r="K102" s="8"/>
      <c r="L102" s="8"/>
      <c r="M102" s="9"/>
    </row>
    <row r="103" spans="1:13">
      <c r="A103" s="42">
        <v>11</v>
      </c>
      <c r="B103" s="7"/>
      <c r="C103" s="8"/>
      <c r="D103" s="8"/>
      <c r="E103" s="8"/>
      <c r="F103" s="8"/>
      <c r="G103" s="8"/>
      <c r="H103" s="8"/>
      <c r="I103" s="8"/>
      <c r="J103" s="8"/>
      <c r="K103" s="8"/>
      <c r="L103" s="8"/>
      <c r="M103" s="9"/>
    </row>
    <row r="104" spans="1:13">
      <c r="A104" s="42">
        <v>12</v>
      </c>
      <c r="B104" s="7"/>
      <c r="C104" s="8"/>
      <c r="D104" s="8"/>
      <c r="E104" s="8"/>
      <c r="F104" s="8"/>
      <c r="G104" s="8"/>
      <c r="H104" s="8"/>
      <c r="I104" s="8"/>
      <c r="J104" s="8"/>
      <c r="K104" s="8"/>
      <c r="L104" s="8"/>
      <c r="M104" s="9"/>
    </row>
    <row r="105" spans="1:13">
      <c r="A105" s="42">
        <v>13</v>
      </c>
      <c r="B105" s="7"/>
      <c r="C105" s="8"/>
      <c r="D105" s="8"/>
      <c r="E105" s="8"/>
      <c r="F105" s="8"/>
      <c r="G105" s="8"/>
      <c r="H105" s="8"/>
      <c r="I105" s="8"/>
      <c r="J105" s="8"/>
      <c r="K105" s="8"/>
      <c r="L105" s="8"/>
      <c r="M105" s="9"/>
    </row>
    <row r="106" spans="1:13">
      <c r="A106" s="42">
        <v>14</v>
      </c>
      <c r="B106" s="7"/>
      <c r="C106" s="8"/>
      <c r="D106" s="8"/>
      <c r="E106" s="8"/>
      <c r="F106" s="8"/>
      <c r="G106" s="8"/>
      <c r="H106" s="8"/>
      <c r="I106" s="8"/>
      <c r="J106" s="8"/>
      <c r="K106" s="8"/>
      <c r="L106" s="8"/>
      <c r="M106" s="9"/>
    </row>
    <row r="107" spans="1:13">
      <c r="A107" s="42">
        <v>15</v>
      </c>
      <c r="B107" s="7"/>
      <c r="C107" s="8"/>
      <c r="D107" s="8"/>
      <c r="E107" s="8"/>
      <c r="F107" s="8"/>
      <c r="G107" s="8"/>
      <c r="H107" s="8"/>
      <c r="I107" s="8"/>
      <c r="J107" s="8"/>
      <c r="K107" s="8"/>
      <c r="L107" s="8"/>
      <c r="M107" s="9"/>
    </row>
    <row r="108" spans="1:13">
      <c r="A108" s="42">
        <v>16</v>
      </c>
      <c r="B108" s="7"/>
      <c r="C108" s="8"/>
      <c r="D108" s="8"/>
      <c r="E108" s="8"/>
      <c r="F108" s="8"/>
      <c r="G108" s="8"/>
      <c r="H108" s="8"/>
      <c r="I108" s="8"/>
      <c r="J108" s="8"/>
      <c r="K108" s="8"/>
      <c r="L108" s="8"/>
      <c r="M108" s="9"/>
    </row>
    <row r="109" spans="1:13">
      <c r="A109" s="42">
        <v>17</v>
      </c>
      <c r="B109" s="7"/>
      <c r="C109" s="8"/>
      <c r="D109" s="8"/>
      <c r="E109" s="8"/>
      <c r="F109" s="8"/>
      <c r="G109" s="8"/>
      <c r="H109" s="8"/>
      <c r="I109" s="8"/>
      <c r="J109" s="8"/>
      <c r="K109" s="8"/>
      <c r="L109" s="8"/>
      <c r="M109" s="9"/>
    </row>
    <row r="110" spans="1:13">
      <c r="A110" s="42">
        <v>18</v>
      </c>
      <c r="B110" s="7"/>
      <c r="C110" s="8"/>
      <c r="D110" s="8"/>
      <c r="E110" s="8"/>
      <c r="F110" s="8"/>
      <c r="G110" s="8"/>
      <c r="H110" s="8"/>
      <c r="I110" s="8"/>
      <c r="J110" s="8"/>
      <c r="K110" s="8"/>
      <c r="L110" s="8"/>
      <c r="M110" s="9"/>
    </row>
    <row r="111" spans="1:13">
      <c r="A111" s="42">
        <v>19</v>
      </c>
      <c r="B111" s="7"/>
      <c r="C111" s="8"/>
      <c r="D111" s="8"/>
      <c r="E111" s="8"/>
      <c r="F111" s="8"/>
      <c r="G111" s="8"/>
      <c r="H111" s="8"/>
      <c r="I111" s="8"/>
      <c r="J111" s="8"/>
      <c r="K111" s="8"/>
      <c r="L111" s="8"/>
      <c r="M111" s="9"/>
    </row>
    <row r="112" spans="1:13">
      <c r="A112" s="42">
        <v>20</v>
      </c>
      <c r="B112" s="7"/>
      <c r="C112" s="8"/>
      <c r="D112" s="8"/>
      <c r="E112" s="8"/>
      <c r="F112" s="8"/>
      <c r="G112" s="8"/>
      <c r="H112" s="8"/>
      <c r="I112" s="8"/>
      <c r="J112" s="8"/>
      <c r="K112" s="8"/>
      <c r="L112" s="8"/>
      <c r="M112" s="9"/>
    </row>
    <row r="113" spans="1:13">
      <c r="A113" s="42">
        <v>21</v>
      </c>
      <c r="B113" s="7"/>
      <c r="C113" s="8"/>
      <c r="D113" s="8"/>
      <c r="E113" s="8"/>
      <c r="F113" s="8"/>
      <c r="G113" s="8"/>
      <c r="H113" s="8"/>
      <c r="I113" s="8"/>
      <c r="J113" s="8"/>
      <c r="K113" s="8"/>
      <c r="L113" s="8"/>
      <c r="M113" s="9"/>
    </row>
    <row r="114" spans="1:13">
      <c r="A114" s="42">
        <v>22</v>
      </c>
      <c r="B114" s="7"/>
      <c r="C114" s="8"/>
      <c r="D114" s="8"/>
      <c r="E114" s="8"/>
      <c r="F114" s="8"/>
      <c r="G114" s="8"/>
      <c r="H114" s="8"/>
      <c r="I114" s="8"/>
      <c r="J114" s="8"/>
      <c r="K114" s="8"/>
      <c r="L114" s="8"/>
      <c r="M114" s="9"/>
    </row>
    <row r="115" spans="1:13">
      <c r="A115" s="42">
        <v>23</v>
      </c>
      <c r="B115" s="7"/>
      <c r="C115" s="8"/>
      <c r="D115" s="8"/>
      <c r="E115" s="8"/>
      <c r="F115" s="8"/>
      <c r="G115" s="8"/>
      <c r="H115" s="8"/>
      <c r="I115" s="8"/>
      <c r="J115" s="8"/>
      <c r="K115" s="8"/>
      <c r="L115" s="8"/>
      <c r="M115" s="9"/>
    </row>
    <row r="116" spans="1:13">
      <c r="A116" s="42">
        <v>24</v>
      </c>
      <c r="B116" s="7"/>
      <c r="C116" s="8"/>
      <c r="D116" s="8"/>
      <c r="E116" s="8"/>
      <c r="F116" s="8"/>
      <c r="G116" s="8"/>
      <c r="H116" s="8"/>
      <c r="I116" s="8"/>
      <c r="J116" s="8"/>
      <c r="K116" s="8"/>
      <c r="L116" s="8"/>
      <c r="M116" s="9"/>
    </row>
    <row r="117" spans="1:13">
      <c r="A117" s="42">
        <v>25</v>
      </c>
      <c r="B117" s="7"/>
      <c r="C117" s="8"/>
      <c r="D117" s="8"/>
      <c r="E117" s="8"/>
      <c r="F117" s="8"/>
      <c r="G117" s="8"/>
      <c r="H117" s="8"/>
      <c r="I117" s="8"/>
      <c r="J117" s="8"/>
      <c r="K117" s="8"/>
      <c r="L117" s="8"/>
      <c r="M117" s="9"/>
    </row>
    <row r="118" spans="1:13">
      <c r="A118" s="42">
        <v>26</v>
      </c>
      <c r="B118" s="7"/>
      <c r="C118" s="8"/>
      <c r="D118" s="8"/>
      <c r="E118" s="8"/>
      <c r="F118" s="8"/>
      <c r="G118" s="8"/>
      <c r="H118" s="8"/>
      <c r="I118" s="8"/>
      <c r="J118" s="8"/>
      <c r="K118" s="8"/>
      <c r="L118" s="8"/>
      <c r="M118" s="9"/>
    </row>
    <row r="119" spans="1:13">
      <c r="A119" s="42">
        <v>27</v>
      </c>
      <c r="B119" s="7"/>
      <c r="C119" s="8"/>
      <c r="D119" s="8"/>
      <c r="E119" s="8"/>
      <c r="F119" s="8"/>
      <c r="G119" s="8"/>
      <c r="H119" s="8"/>
      <c r="I119" s="8"/>
      <c r="J119" s="8"/>
      <c r="K119" s="8"/>
      <c r="L119" s="8"/>
      <c r="M119" s="9"/>
    </row>
    <row r="120" spans="1:13">
      <c r="A120" s="42">
        <v>28</v>
      </c>
      <c r="B120" s="7"/>
      <c r="C120" s="8"/>
      <c r="D120" s="8"/>
      <c r="E120" s="8"/>
      <c r="F120" s="8"/>
      <c r="G120" s="8"/>
      <c r="H120" s="8"/>
      <c r="I120" s="8"/>
      <c r="J120" s="8"/>
      <c r="K120" s="8"/>
      <c r="L120" s="8"/>
      <c r="M120" s="9"/>
    </row>
    <row r="121" spans="1:13">
      <c r="A121" s="42">
        <v>29</v>
      </c>
      <c r="B121" s="7"/>
      <c r="C121" s="8"/>
      <c r="D121" s="8"/>
      <c r="E121" s="8"/>
      <c r="F121" s="8"/>
      <c r="G121" s="8"/>
      <c r="H121" s="8"/>
      <c r="I121" s="8"/>
      <c r="J121" s="8"/>
      <c r="K121" s="8"/>
      <c r="L121" s="8"/>
      <c r="M121" s="9"/>
    </row>
    <row r="122" spans="1:13">
      <c r="A122" s="42">
        <v>30</v>
      </c>
      <c r="B122" s="7"/>
      <c r="C122" s="8"/>
      <c r="D122" s="8"/>
      <c r="E122" s="8"/>
      <c r="F122" s="8"/>
      <c r="G122" s="8"/>
      <c r="H122" s="8"/>
      <c r="I122" s="8"/>
      <c r="J122" s="8"/>
      <c r="K122" s="8"/>
      <c r="L122" s="8"/>
      <c r="M122" s="9"/>
    </row>
    <row r="123" spans="1:13">
      <c r="A123" s="43">
        <v>31</v>
      </c>
      <c r="B123" s="10"/>
      <c r="C123" s="11"/>
      <c r="D123" s="11"/>
      <c r="E123" s="11"/>
      <c r="F123" s="11"/>
      <c r="G123" s="11"/>
      <c r="H123" s="11"/>
      <c r="I123" s="11"/>
      <c r="J123" s="11"/>
      <c r="K123" s="11"/>
      <c r="L123" s="11"/>
      <c r="M123" s="12"/>
    </row>
    <row r="125" spans="1:13" ht="15.75">
      <c r="A125" s="72" t="s">
        <v>29</v>
      </c>
      <c r="B125" s="72"/>
      <c r="C125" s="72"/>
      <c r="D125" s="72"/>
      <c r="E125" s="72"/>
      <c r="F125" s="72"/>
      <c r="G125" s="72"/>
      <c r="H125" s="72"/>
      <c r="I125" s="72"/>
      <c r="J125" s="72"/>
      <c r="K125" s="72"/>
      <c r="L125" s="72"/>
      <c r="M125" s="72"/>
    </row>
    <row r="126" spans="1:13">
      <c r="B126" s="57" t="s">
        <v>17</v>
      </c>
      <c r="C126" s="58" t="s">
        <v>18</v>
      </c>
      <c r="D126" s="58" t="s">
        <v>19</v>
      </c>
      <c r="E126" s="58" t="s">
        <v>20</v>
      </c>
      <c r="F126" s="58" t="s">
        <v>21</v>
      </c>
      <c r="G126" s="58" t="s">
        <v>22</v>
      </c>
      <c r="H126" s="58" t="s">
        <v>23</v>
      </c>
      <c r="I126" s="58" t="s">
        <v>24</v>
      </c>
      <c r="J126" s="58" t="s">
        <v>25</v>
      </c>
      <c r="K126" s="58" t="s">
        <v>26</v>
      </c>
      <c r="L126" s="58" t="s">
        <v>27</v>
      </c>
      <c r="M126" s="59" t="s">
        <v>28</v>
      </c>
    </row>
    <row r="127" spans="1:13">
      <c r="A127" s="41" t="s">
        <v>3</v>
      </c>
      <c r="B127" s="4">
        <f>COUNTIF($B$92:$B$123,"Anchor")</f>
        <v>0</v>
      </c>
      <c r="C127" s="5">
        <f>COUNTIF($C$92:$C$123,"Anchor")</f>
        <v>0</v>
      </c>
      <c r="D127" s="5">
        <f>COUNTIF($D$92:$D$123,"Anchor")</f>
        <v>0</v>
      </c>
      <c r="E127" s="5">
        <f>COUNTIF($E$92:$E$123,"Anchor")</f>
        <v>0</v>
      </c>
      <c r="F127" s="5">
        <f>COUNTIF($F$92:$F$123,"Anchor")</f>
        <v>0</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2" t="s">
        <v>1</v>
      </c>
      <c r="B128" s="7">
        <f>COUNTIF($B$92:$B$123,"At Sea")</f>
        <v>0</v>
      </c>
      <c r="C128" s="8">
        <f>COUNTIF($C$92:$C$123,"At Sea")</f>
        <v>0</v>
      </c>
      <c r="D128" s="8">
        <f>COUNTIF($D$92:$D$123,"At Sea")</f>
        <v>0</v>
      </c>
      <c r="E128" s="8">
        <f>COUNTIF($E$92:$E$123,"At Sea")</f>
        <v>0</v>
      </c>
      <c r="F128" s="8">
        <f>COUNTIF($F$92:$F$123,"At Sea")</f>
        <v>0</v>
      </c>
      <c r="G128" s="8">
        <f>COUNTIF($G$92:$G$123,"At Sea")</f>
        <v>0</v>
      </c>
      <c r="H128" s="8">
        <f>COUNTIF($H$92:$H$123,"At Sea")</f>
        <v>0</v>
      </c>
      <c r="I128" s="8">
        <f>COUNTIF($I$92:$I$123,"At Sea")</f>
        <v>0</v>
      </c>
      <c r="J128" s="8">
        <f>COUNTIF($J$92:$J$123,"At Sea")</f>
        <v>0</v>
      </c>
      <c r="K128" s="8">
        <f>COUNTIF($K$92:$K$123,"At Sea")</f>
        <v>0</v>
      </c>
      <c r="L128" s="8">
        <f>COUNTIF($L$92:$L$123,"At Sea")</f>
        <v>0</v>
      </c>
      <c r="M128" s="9">
        <f>COUNTIF($M$92:$M$123,"At Sea")</f>
        <v>0</v>
      </c>
    </row>
    <row r="129" spans="1:13">
      <c r="A129" s="42" t="s">
        <v>2</v>
      </c>
      <c r="B129" s="7">
        <f>COUNTIF($B$92:$B$123,"On Dock")</f>
        <v>0</v>
      </c>
      <c r="C129" s="8">
        <f>COUNTIF($C$92:$C$123,"On Dock")</f>
        <v>0</v>
      </c>
      <c r="D129" s="8">
        <f>COUNTIF($D$92:$D$123,"On Dock")</f>
        <v>0</v>
      </c>
      <c r="E129" s="8">
        <f>COUNTIF($E$92:$E$123,"On Dock")</f>
        <v>0</v>
      </c>
      <c r="F129" s="8">
        <f>COUNTIF($F$92:$F$123,"On Dock")</f>
        <v>0</v>
      </c>
      <c r="G129" s="8">
        <f>COUNTIF($G$92:$G$123,"On Dock")</f>
        <v>0</v>
      </c>
      <c r="H129" s="8">
        <f>COUNTIF($H$92:$H$123,"On Dock")</f>
        <v>0</v>
      </c>
      <c r="I129" s="8">
        <f>COUNTIF($I$92:$I$123,"On Dock")</f>
        <v>0</v>
      </c>
      <c r="J129" s="8">
        <f>COUNTIF($J$92:$J$123,"On Dock")</f>
        <v>0</v>
      </c>
      <c r="K129" s="8">
        <f>COUNTIF($K$92:$K$123,"On Dock")</f>
        <v>0</v>
      </c>
      <c r="L129" s="8">
        <f>COUNTIF($L$92:$L$123,"On Dock")</f>
        <v>0</v>
      </c>
      <c r="M129" s="9">
        <f>COUNTIF($M$92:$M$123,"On Dock")</f>
        <v>0</v>
      </c>
    </row>
    <row r="130" spans="1:13">
      <c r="A130" s="42" t="s">
        <v>51</v>
      </c>
      <c r="B130" s="7">
        <f>COUNTIF($B$92:$B$123,"Standby")</f>
        <v>0</v>
      </c>
      <c r="C130" s="8">
        <f>COUNTIF($C$92:$C$123,"Standby")</f>
        <v>0</v>
      </c>
      <c r="D130" s="8">
        <f>COUNTIF($D$92:$D$123,"Standby")</f>
        <v>0</v>
      </c>
      <c r="E130" s="8">
        <f>COUNTIF($E$92:$E$123,"Standby")</f>
        <v>0</v>
      </c>
      <c r="F130" s="8">
        <f>COUNTIF($F$92:$F$123,"Standby")</f>
        <v>0</v>
      </c>
      <c r="G130" s="8">
        <f>COUNTIF($G$92:$G$123,"Standby")</f>
        <v>0</v>
      </c>
      <c r="H130" s="8">
        <f>COUNTIF($H$92:$H$123,"Standby")</f>
        <v>0</v>
      </c>
      <c r="I130" s="8">
        <f>COUNTIF($I$92:$I$123,"Standby")</f>
        <v>0</v>
      </c>
      <c r="J130" s="8">
        <f>COUNTIF($J$92:$J$123,"Standby")</f>
        <v>0</v>
      </c>
      <c r="K130" s="8">
        <f>COUNTIF($K$92:$K$123,"Standby")</f>
        <v>0</v>
      </c>
      <c r="L130" s="8">
        <f>COUNTIF($L$92:$L$123,"Standby")</f>
        <v>0</v>
      </c>
      <c r="M130" s="9">
        <f>COUNTIF($M$92:$M$123,"Standby")</f>
        <v>0</v>
      </c>
    </row>
    <row r="131" spans="1:13">
      <c r="A131" s="42" t="s">
        <v>4</v>
      </c>
      <c r="B131" s="7">
        <f>COUNTIF($B$92:$B$123,"Yard")</f>
        <v>0</v>
      </c>
      <c r="C131" s="8">
        <f>COUNTIF($C$92:$C$123,"Yard")</f>
        <v>0</v>
      </c>
      <c r="D131" s="8">
        <f>COUNTIF($D$92:$D$123,"Yard")</f>
        <v>0</v>
      </c>
      <c r="E131" s="8">
        <f>COUNTIF($E$92:$E$123,"Yard")</f>
        <v>0</v>
      </c>
      <c r="F131" s="8">
        <f>COUNTIF($F$92:$F$123,"Yard")</f>
        <v>0</v>
      </c>
      <c r="G131" s="8">
        <f>COUNTIF($G$92:$G$123,"Yard")</f>
        <v>0</v>
      </c>
      <c r="H131" s="8">
        <f>COUNTIF($H$92:$H$123,"Yard")</f>
        <v>0</v>
      </c>
      <c r="I131" s="8">
        <f>COUNTIF($I$92:$I$123,"Yard")</f>
        <v>0</v>
      </c>
      <c r="J131" s="8">
        <f>COUNTIF($J$92:$J$123,"Yard")</f>
        <v>0</v>
      </c>
      <c r="K131" s="8">
        <f>COUNTIF($K$92:$K$123,"Yard")</f>
        <v>0</v>
      </c>
      <c r="L131" s="8">
        <f>COUNTIF($L$92:$L$123,"Yard")</f>
        <v>0</v>
      </c>
      <c r="M131" s="9">
        <f>COUNTIF($M$92:$M$123,"Yard")</f>
        <v>0</v>
      </c>
    </row>
    <row r="132" spans="1:13">
      <c r="A132" s="42"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2"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3"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row r="135" spans="1:13" ht="15.75" thickBot="1"/>
    <row r="136" spans="1:13" ht="18.75" thickBot="1">
      <c r="A136" s="69" t="s">
        <v>39</v>
      </c>
      <c r="B136" s="70"/>
      <c r="C136" s="70"/>
      <c r="D136" s="70"/>
      <c r="E136" s="70"/>
      <c r="F136" s="70"/>
      <c r="G136" s="70"/>
      <c r="H136" s="70"/>
      <c r="I136" s="70"/>
      <c r="J136" s="70"/>
      <c r="K136" s="70"/>
      <c r="L136" s="70"/>
      <c r="M136" s="71"/>
    </row>
    <row r="138" spans="1:13">
      <c r="B138" s="57" t="s">
        <v>17</v>
      </c>
      <c r="C138" s="58" t="s">
        <v>18</v>
      </c>
      <c r="D138" s="58" t="s">
        <v>19</v>
      </c>
      <c r="E138" s="58" t="s">
        <v>20</v>
      </c>
      <c r="F138" s="58" t="s">
        <v>21</v>
      </c>
      <c r="G138" s="58" t="s">
        <v>22</v>
      </c>
      <c r="H138" s="58" t="s">
        <v>23</v>
      </c>
      <c r="I138" s="58" t="s">
        <v>24</v>
      </c>
      <c r="J138" s="58" t="s">
        <v>25</v>
      </c>
      <c r="K138" s="58" t="s">
        <v>26</v>
      </c>
      <c r="L138" s="58" t="s">
        <v>27</v>
      </c>
      <c r="M138" s="59" t="s">
        <v>28</v>
      </c>
    </row>
    <row r="139" spans="1:13">
      <c r="A139" s="41">
        <v>1</v>
      </c>
      <c r="B139" s="4"/>
      <c r="C139" s="47" t="s">
        <v>5</v>
      </c>
      <c r="D139" s="5"/>
      <c r="E139" s="5"/>
      <c r="F139" s="5"/>
      <c r="G139" s="5"/>
      <c r="H139" s="5"/>
      <c r="I139" s="5"/>
      <c r="J139" s="5"/>
      <c r="K139" s="5"/>
      <c r="L139" s="5"/>
      <c r="M139" s="6"/>
    </row>
    <row r="140" spans="1:13">
      <c r="A140" s="42">
        <v>2</v>
      </c>
      <c r="B140" s="7"/>
      <c r="C140" s="48" t="s">
        <v>5</v>
      </c>
      <c r="D140" s="8"/>
      <c r="E140" s="8"/>
      <c r="F140" s="8"/>
      <c r="G140" s="8"/>
      <c r="H140" s="8"/>
      <c r="I140" s="8"/>
      <c r="J140" s="8"/>
      <c r="K140" s="8"/>
      <c r="L140" s="8"/>
      <c r="M140" s="9"/>
    </row>
    <row r="141" spans="1:13">
      <c r="A141" s="42">
        <v>3</v>
      </c>
      <c r="B141" s="7"/>
      <c r="C141" s="48" t="s">
        <v>5</v>
      </c>
      <c r="D141" s="8"/>
      <c r="E141" s="8"/>
      <c r="F141" s="8"/>
      <c r="G141" s="8"/>
      <c r="H141" s="8"/>
      <c r="I141" s="8"/>
      <c r="J141" s="8"/>
      <c r="K141" s="8"/>
      <c r="L141" s="8"/>
      <c r="M141" s="9"/>
    </row>
    <row r="142" spans="1:13">
      <c r="A142" s="42">
        <v>4</v>
      </c>
      <c r="B142" s="7"/>
      <c r="C142" s="48" t="s">
        <v>5</v>
      </c>
      <c r="D142" s="8"/>
      <c r="E142" s="8"/>
      <c r="F142" s="8"/>
      <c r="G142" s="8"/>
      <c r="H142" s="8"/>
      <c r="I142" s="8"/>
      <c r="J142" s="8"/>
      <c r="K142" s="8"/>
      <c r="L142" s="8"/>
      <c r="M142" s="9"/>
    </row>
    <row r="143" spans="1:13">
      <c r="A143" s="42">
        <v>5</v>
      </c>
      <c r="B143" s="7"/>
      <c r="C143" s="8"/>
      <c r="D143" s="8"/>
      <c r="E143" s="8"/>
      <c r="F143" s="8"/>
      <c r="G143" s="8"/>
      <c r="H143" s="8"/>
      <c r="I143" s="8"/>
      <c r="J143" s="8"/>
      <c r="K143" s="8"/>
      <c r="L143" s="8"/>
      <c r="M143" s="9"/>
    </row>
    <row r="144" spans="1:13">
      <c r="A144" s="42">
        <v>6</v>
      </c>
      <c r="B144" s="7"/>
      <c r="C144" s="8"/>
      <c r="D144" s="8"/>
      <c r="E144" s="8"/>
      <c r="F144" s="8"/>
      <c r="G144" s="8"/>
      <c r="H144" s="8"/>
      <c r="I144" s="8"/>
      <c r="J144" s="8"/>
      <c r="K144" s="8"/>
      <c r="L144" s="8"/>
      <c r="M144" s="9"/>
    </row>
    <row r="145" spans="1:13">
      <c r="A145" s="42">
        <v>7</v>
      </c>
      <c r="B145" s="7"/>
      <c r="C145" s="8"/>
      <c r="D145" s="8"/>
      <c r="E145" s="8"/>
      <c r="F145" s="8"/>
      <c r="G145" s="8"/>
      <c r="H145" s="8"/>
      <c r="I145" s="8"/>
      <c r="J145" s="8"/>
      <c r="K145" s="8"/>
      <c r="L145" s="8"/>
      <c r="M145" s="9"/>
    </row>
    <row r="146" spans="1:13">
      <c r="A146" s="42">
        <v>8</v>
      </c>
      <c r="B146" s="7"/>
      <c r="C146" s="8"/>
      <c r="D146" s="8"/>
      <c r="E146" s="8"/>
      <c r="F146" s="8"/>
      <c r="G146" s="8"/>
      <c r="H146" s="8"/>
      <c r="I146" s="8"/>
      <c r="J146" s="8"/>
      <c r="K146" s="8"/>
      <c r="L146" s="8"/>
      <c r="M146" s="9"/>
    </row>
    <row r="147" spans="1:13">
      <c r="A147" s="42">
        <v>9</v>
      </c>
      <c r="B147" s="7"/>
      <c r="C147" s="8"/>
      <c r="D147" s="8"/>
      <c r="E147" s="8"/>
      <c r="F147" s="8"/>
      <c r="G147" s="8"/>
      <c r="H147" s="8"/>
      <c r="I147" s="8"/>
      <c r="J147" s="8"/>
      <c r="K147" s="8"/>
      <c r="L147" s="8"/>
      <c r="M147" s="9"/>
    </row>
    <row r="148" spans="1:13">
      <c r="A148" s="42">
        <v>10</v>
      </c>
      <c r="B148" s="7"/>
      <c r="C148" s="8"/>
      <c r="D148" s="8"/>
      <c r="E148" s="8"/>
      <c r="F148" s="8"/>
      <c r="G148" s="8"/>
      <c r="H148" s="8"/>
      <c r="I148" s="8"/>
      <c r="J148" s="8"/>
      <c r="K148" s="8"/>
      <c r="L148" s="8"/>
      <c r="M148" s="9"/>
    </row>
    <row r="149" spans="1:13">
      <c r="A149" s="42">
        <v>11</v>
      </c>
      <c r="B149" s="7"/>
      <c r="C149" s="8"/>
      <c r="D149" s="8"/>
      <c r="E149" s="8"/>
      <c r="F149" s="8"/>
      <c r="G149" s="8"/>
      <c r="H149" s="8"/>
      <c r="I149" s="8"/>
      <c r="J149" s="8"/>
      <c r="K149" s="8"/>
      <c r="L149" s="8"/>
      <c r="M149" s="9"/>
    </row>
    <row r="150" spans="1:13">
      <c r="A150" s="42">
        <v>12</v>
      </c>
      <c r="B150" s="7"/>
      <c r="C150" s="8"/>
      <c r="D150" s="8"/>
      <c r="E150" s="8"/>
      <c r="F150" s="8"/>
      <c r="G150" s="8"/>
      <c r="H150" s="8"/>
      <c r="I150" s="8"/>
      <c r="J150" s="8"/>
      <c r="K150" s="8"/>
      <c r="L150" s="8"/>
      <c r="M150" s="9"/>
    </row>
    <row r="151" spans="1:13">
      <c r="A151" s="42">
        <v>13</v>
      </c>
      <c r="B151" s="7"/>
      <c r="C151" s="8"/>
      <c r="D151" s="8"/>
      <c r="E151" s="8"/>
      <c r="F151" s="8"/>
      <c r="G151" s="8"/>
      <c r="H151" s="8"/>
      <c r="I151" s="8"/>
      <c r="J151" s="8"/>
      <c r="K151" s="8"/>
      <c r="L151" s="8"/>
      <c r="M151" s="9"/>
    </row>
    <row r="152" spans="1:13">
      <c r="A152" s="42">
        <v>14</v>
      </c>
      <c r="B152" s="7"/>
      <c r="C152" s="8"/>
      <c r="D152" s="8"/>
      <c r="E152" s="8"/>
      <c r="F152" s="8"/>
      <c r="G152" s="8"/>
      <c r="H152" s="8"/>
      <c r="I152" s="8"/>
      <c r="J152" s="8"/>
      <c r="K152" s="8"/>
      <c r="L152" s="8"/>
      <c r="M152" s="9"/>
    </row>
    <row r="153" spans="1:13">
      <c r="A153" s="42">
        <v>15</v>
      </c>
      <c r="B153" s="7"/>
      <c r="C153" s="8"/>
      <c r="D153" s="8"/>
      <c r="E153" s="8"/>
      <c r="F153" s="8"/>
      <c r="G153" s="8"/>
      <c r="H153" s="8"/>
      <c r="I153" s="8"/>
      <c r="J153" s="8"/>
      <c r="K153" s="8"/>
      <c r="L153" s="8"/>
      <c r="M153" s="9"/>
    </row>
    <row r="154" spans="1:13">
      <c r="A154" s="42">
        <v>16</v>
      </c>
      <c r="B154" s="7"/>
      <c r="C154" s="8"/>
      <c r="D154" s="8"/>
      <c r="E154" s="8"/>
      <c r="F154" s="8"/>
      <c r="G154" s="8"/>
      <c r="H154" s="8"/>
      <c r="I154" s="8"/>
      <c r="J154" s="8"/>
      <c r="K154" s="8"/>
      <c r="L154" s="8"/>
      <c r="M154" s="9"/>
    </row>
    <row r="155" spans="1:13">
      <c r="A155" s="42">
        <v>17</v>
      </c>
      <c r="B155" s="7"/>
      <c r="C155" s="8"/>
      <c r="D155" s="8"/>
      <c r="E155" s="8"/>
      <c r="F155" s="8"/>
      <c r="G155" s="8"/>
      <c r="H155" s="8"/>
      <c r="I155" s="8"/>
      <c r="J155" s="8"/>
      <c r="K155" s="8"/>
      <c r="L155" s="8"/>
      <c r="M155" s="9"/>
    </row>
    <row r="156" spans="1:13">
      <c r="A156" s="42">
        <v>18</v>
      </c>
      <c r="B156" s="7"/>
      <c r="C156" s="8"/>
      <c r="D156" s="8"/>
      <c r="E156" s="8"/>
      <c r="F156" s="8"/>
      <c r="G156" s="8"/>
      <c r="H156" s="8"/>
      <c r="I156" s="8"/>
      <c r="J156" s="8"/>
      <c r="K156" s="8"/>
      <c r="L156" s="8"/>
      <c r="M156" s="9"/>
    </row>
    <row r="157" spans="1:13">
      <c r="A157" s="42">
        <v>19</v>
      </c>
      <c r="B157" s="7"/>
      <c r="C157" s="8"/>
      <c r="D157" s="8"/>
      <c r="E157" s="8"/>
      <c r="F157" s="8"/>
      <c r="G157" s="8"/>
      <c r="H157" s="8"/>
      <c r="I157" s="8"/>
      <c r="J157" s="8"/>
      <c r="K157" s="8"/>
      <c r="L157" s="8"/>
      <c r="M157" s="9"/>
    </row>
    <row r="158" spans="1:13">
      <c r="A158" s="42">
        <v>20</v>
      </c>
      <c r="B158" s="7"/>
      <c r="C158" s="8"/>
      <c r="D158" s="8"/>
      <c r="E158" s="8"/>
      <c r="F158" s="8"/>
      <c r="G158" s="8"/>
      <c r="H158" s="8"/>
      <c r="I158" s="8"/>
      <c r="J158" s="8"/>
      <c r="K158" s="8"/>
      <c r="L158" s="8"/>
      <c r="M158" s="9"/>
    </row>
    <row r="159" spans="1:13">
      <c r="A159" s="42">
        <v>21</v>
      </c>
      <c r="B159" s="7"/>
      <c r="C159" s="8"/>
      <c r="D159" s="8"/>
      <c r="E159" s="8"/>
      <c r="F159" s="8"/>
      <c r="G159" s="8"/>
      <c r="H159" s="8"/>
      <c r="I159" s="8"/>
      <c r="J159" s="8"/>
      <c r="K159" s="8"/>
      <c r="L159" s="8"/>
      <c r="M159" s="9"/>
    </row>
    <row r="160" spans="1:13">
      <c r="A160" s="42">
        <v>22</v>
      </c>
      <c r="B160" s="7"/>
      <c r="C160" s="8"/>
      <c r="D160" s="8"/>
      <c r="E160" s="8"/>
      <c r="F160" s="8"/>
      <c r="G160" s="8"/>
      <c r="H160" s="8"/>
      <c r="I160" s="8"/>
      <c r="J160" s="8"/>
      <c r="K160" s="8"/>
      <c r="L160" s="8"/>
      <c r="M160" s="9"/>
    </row>
    <row r="161" spans="1:13">
      <c r="A161" s="42">
        <v>23</v>
      </c>
      <c r="B161" s="7"/>
      <c r="C161" s="8"/>
      <c r="D161" s="8"/>
      <c r="E161" s="8"/>
      <c r="F161" s="8"/>
      <c r="G161" s="8"/>
      <c r="H161" s="8"/>
      <c r="I161" s="8"/>
      <c r="J161" s="8"/>
      <c r="K161" s="8"/>
      <c r="L161" s="8"/>
      <c r="M161" s="9"/>
    </row>
    <row r="162" spans="1:13">
      <c r="A162" s="42">
        <v>24</v>
      </c>
      <c r="B162" s="7"/>
      <c r="C162" s="8"/>
      <c r="D162" s="8"/>
      <c r="E162" s="8"/>
      <c r="F162" s="8"/>
      <c r="G162" s="8"/>
      <c r="H162" s="8"/>
      <c r="I162" s="8"/>
      <c r="J162" s="8"/>
      <c r="K162" s="8"/>
      <c r="L162" s="8"/>
      <c r="M162" s="9"/>
    </row>
    <row r="163" spans="1:13">
      <c r="A163" s="42">
        <v>25</v>
      </c>
      <c r="B163" s="7"/>
      <c r="C163" s="8"/>
      <c r="D163" s="8"/>
      <c r="E163" s="8"/>
      <c r="F163" s="8"/>
      <c r="G163" s="8"/>
      <c r="H163" s="8"/>
      <c r="I163" s="8"/>
      <c r="J163" s="8"/>
      <c r="K163" s="8"/>
      <c r="L163" s="8"/>
      <c r="M163" s="9"/>
    </row>
    <row r="164" spans="1:13">
      <c r="A164" s="42">
        <v>26</v>
      </c>
      <c r="B164" s="7"/>
      <c r="C164" s="8"/>
      <c r="D164" s="8"/>
      <c r="E164" s="8"/>
      <c r="F164" s="8"/>
      <c r="G164" s="8"/>
      <c r="H164" s="8"/>
      <c r="I164" s="8"/>
      <c r="J164" s="8"/>
      <c r="K164" s="8"/>
      <c r="L164" s="8"/>
      <c r="M164" s="9"/>
    </row>
    <row r="165" spans="1:13">
      <c r="A165" s="42">
        <v>27</v>
      </c>
      <c r="B165" s="7"/>
      <c r="C165" s="8"/>
      <c r="D165" s="8"/>
      <c r="E165" s="8"/>
      <c r="F165" s="8"/>
      <c r="G165" s="8"/>
      <c r="H165" s="8"/>
      <c r="I165" s="8"/>
      <c r="J165" s="8"/>
      <c r="K165" s="8"/>
      <c r="L165" s="8"/>
      <c r="M165" s="9"/>
    </row>
    <row r="166" spans="1:13">
      <c r="A166" s="42">
        <v>28</v>
      </c>
      <c r="B166" s="45" t="s">
        <v>5</v>
      </c>
      <c r="C166" s="8"/>
      <c r="D166" s="8"/>
      <c r="E166" s="8"/>
      <c r="F166" s="8"/>
      <c r="G166" s="8"/>
      <c r="H166" s="8"/>
      <c r="I166" s="8"/>
      <c r="J166" s="8"/>
      <c r="K166" s="8"/>
      <c r="L166" s="8"/>
      <c r="M166" s="9"/>
    </row>
    <row r="167" spans="1:13">
      <c r="A167" s="42">
        <v>29</v>
      </c>
      <c r="B167" s="45" t="s">
        <v>5</v>
      </c>
      <c r="C167" s="8"/>
      <c r="D167" s="8"/>
      <c r="E167" s="8"/>
      <c r="F167" s="8"/>
      <c r="G167" s="8"/>
      <c r="H167" s="8"/>
      <c r="I167" s="8"/>
      <c r="J167" s="8"/>
      <c r="K167" s="8"/>
      <c r="L167" s="8"/>
      <c r="M167" s="9"/>
    </row>
    <row r="168" spans="1:13">
      <c r="A168" s="42">
        <v>30</v>
      </c>
      <c r="B168" s="45" t="s">
        <v>5</v>
      </c>
      <c r="C168" s="8"/>
      <c r="D168" s="8"/>
      <c r="E168" s="8"/>
      <c r="F168" s="8"/>
      <c r="G168" s="8"/>
      <c r="H168" s="8"/>
      <c r="I168" s="8"/>
      <c r="J168" s="8"/>
      <c r="K168" s="8"/>
      <c r="L168" s="8"/>
      <c r="M168" s="9"/>
    </row>
    <row r="169" spans="1:13">
      <c r="A169" s="43">
        <v>31</v>
      </c>
      <c r="B169" s="46" t="s">
        <v>5</v>
      </c>
      <c r="C169" s="11"/>
      <c r="D169" s="11"/>
      <c r="E169" s="11"/>
      <c r="F169" s="11"/>
      <c r="G169" s="11"/>
      <c r="H169" s="11"/>
      <c r="I169" s="11"/>
      <c r="J169" s="11"/>
      <c r="K169" s="11"/>
      <c r="L169" s="11"/>
      <c r="M169" s="12"/>
    </row>
    <row r="171" spans="1:13" ht="15.75">
      <c r="A171" s="72" t="s">
        <v>29</v>
      </c>
      <c r="B171" s="72"/>
      <c r="C171" s="72"/>
      <c r="D171" s="72"/>
      <c r="E171" s="72"/>
      <c r="F171" s="72"/>
      <c r="G171" s="72"/>
      <c r="H171" s="72"/>
      <c r="I171" s="72"/>
      <c r="J171" s="72"/>
      <c r="K171" s="72"/>
      <c r="L171" s="72"/>
      <c r="M171" s="72"/>
    </row>
    <row r="172" spans="1:13">
      <c r="B172" s="57" t="s">
        <v>17</v>
      </c>
      <c r="C172" s="58" t="s">
        <v>18</v>
      </c>
      <c r="D172" s="58" t="s">
        <v>19</v>
      </c>
      <c r="E172" s="58" t="s">
        <v>20</v>
      </c>
      <c r="F172" s="58" t="s">
        <v>21</v>
      </c>
      <c r="G172" s="58" t="s">
        <v>22</v>
      </c>
      <c r="H172" s="58" t="s">
        <v>23</v>
      </c>
      <c r="I172" s="58" t="s">
        <v>24</v>
      </c>
      <c r="J172" s="58" t="s">
        <v>25</v>
      </c>
      <c r="K172" s="58" t="s">
        <v>26</v>
      </c>
      <c r="L172" s="58" t="s">
        <v>27</v>
      </c>
      <c r="M172" s="59" t="s">
        <v>28</v>
      </c>
    </row>
    <row r="173" spans="1:13">
      <c r="A173" s="41" t="s">
        <v>3</v>
      </c>
      <c r="B173" s="4">
        <f>COUNTIF($B$138:$B$169,"Anchor")</f>
        <v>0</v>
      </c>
      <c r="C173" s="5">
        <f>COUNTIF($C$138:$C$169,"Anchor")</f>
        <v>0</v>
      </c>
      <c r="D173" s="5">
        <f>COUNTIF($D$138:$D$169,"Anchor")</f>
        <v>0</v>
      </c>
      <c r="E173" s="5">
        <f>COUNTIF($E$138:$E$169,"Anchor")</f>
        <v>0</v>
      </c>
      <c r="F173" s="5">
        <f>COUNTIF($F$138:$F$169,"Anchor")</f>
        <v>0</v>
      </c>
      <c r="G173" s="5">
        <f>COUNTIF($G$138:$G$169,"Anchor")</f>
        <v>0</v>
      </c>
      <c r="H173" s="5">
        <f>COUNTIF($H$138:$H$169,"Anchor")</f>
        <v>0</v>
      </c>
      <c r="I173" s="5">
        <f>COUNTIF($I$138:$I$169,"Anchor")</f>
        <v>0</v>
      </c>
      <c r="J173" s="5">
        <f>COUNTIF($J$138:$J$169,"Anchor")</f>
        <v>0</v>
      </c>
      <c r="K173" s="5">
        <f>COUNTIF($K$138:$K$169,"Anchor")</f>
        <v>0</v>
      </c>
      <c r="L173" s="5">
        <f>COUNTIF($L$138:$L$169,"Anchor")</f>
        <v>0</v>
      </c>
      <c r="M173" s="6">
        <f>COUNTIF($M$138:$M$169,"Anchor")</f>
        <v>0</v>
      </c>
    </row>
    <row r="174" spans="1:13">
      <c r="A174" s="42" t="s">
        <v>1</v>
      </c>
      <c r="B174" s="7">
        <f>COUNTIF($B$138:$B$169,"At Sea")</f>
        <v>0</v>
      </c>
      <c r="C174" s="8">
        <f>COUNTIF($C$138:$C$169,"At Sea")</f>
        <v>0</v>
      </c>
      <c r="D174" s="8">
        <f>COUNTIF($D$138:$D$169,"At Sea")</f>
        <v>0</v>
      </c>
      <c r="E174" s="8">
        <f>COUNTIF($E$138:$E$169,"At Sea")</f>
        <v>0</v>
      </c>
      <c r="F174" s="8">
        <f>COUNTIF($F$138:$F$169,"At Sea")</f>
        <v>0</v>
      </c>
      <c r="G174" s="8">
        <f>COUNTIF($G$138:$G$169,"At Sea")</f>
        <v>0</v>
      </c>
      <c r="H174" s="8">
        <f>COUNTIF($H$138:$H$169,"At Sea")</f>
        <v>0</v>
      </c>
      <c r="I174" s="8">
        <f>COUNTIF($I$138:$I$169,"At Sea")</f>
        <v>0</v>
      </c>
      <c r="J174" s="8">
        <f>COUNTIF($J$138:$J$169,"At Sea")</f>
        <v>0</v>
      </c>
      <c r="K174" s="8">
        <f>COUNTIF($K$138:$K$169,"At Sea")</f>
        <v>0</v>
      </c>
      <c r="L174" s="8">
        <f>COUNTIF($L$138:$L$169,"At Sea")</f>
        <v>0</v>
      </c>
      <c r="M174" s="9">
        <f>COUNTIF($M$138:$M$169,"At Sea")</f>
        <v>0</v>
      </c>
    </row>
    <row r="175" spans="1:13">
      <c r="A175" s="42" t="s">
        <v>2</v>
      </c>
      <c r="B175" s="7">
        <f>COUNTIF($B$138:$B$169,"On Dock")</f>
        <v>0</v>
      </c>
      <c r="C175" s="8">
        <f>COUNTIF($C$138:$C$169,"On Dock")</f>
        <v>0</v>
      </c>
      <c r="D175" s="8">
        <f>COUNTIF($D$138:$D$169,"On Dock")</f>
        <v>0</v>
      </c>
      <c r="E175" s="8">
        <f>COUNTIF($E$138:$E$169,"On Dock")</f>
        <v>0</v>
      </c>
      <c r="F175" s="8">
        <f>COUNTIF($F$138:$F$169,"On Dock")</f>
        <v>0</v>
      </c>
      <c r="G175" s="8">
        <f>COUNTIF($G$138:$G$169,"On Dock")</f>
        <v>0</v>
      </c>
      <c r="H175" s="8">
        <f>COUNTIF($H$138:$H$169,"On Dock")</f>
        <v>0</v>
      </c>
      <c r="I175" s="8">
        <f>COUNTIF($I$138:$I$169,"On Dock")</f>
        <v>0</v>
      </c>
      <c r="J175" s="8">
        <f>COUNTIF($J$138:$J$169,"On Dock")</f>
        <v>0</v>
      </c>
      <c r="K175" s="8">
        <f>COUNTIF($K$138:$K$169,"On Dock")</f>
        <v>0</v>
      </c>
      <c r="L175" s="8">
        <f>COUNTIF($L$138:$L$169,"On Dock")</f>
        <v>0</v>
      </c>
      <c r="M175" s="9">
        <f>COUNTIF($M$138:$M$169,"On Dock")</f>
        <v>0</v>
      </c>
    </row>
    <row r="176" spans="1:13">
      <c r="A176" s="42" t="s">
        <v>51</v>
      </c>
      <c r="B176" s="7">
        <f>COUNTIF($B$138:$B$169,"Standby")</f>
        <v>0</v>
      </c>
      <c r="C176" s="8">
        <f>COUNTIF($C$138:$C$169,"Standby")</f>
        <v>0</v>
      </c>
      <c r="D176" s="8">
        <f>COUNTIF($D$138:$D$169,"Standby")</f>
        <v>0</v>
      </c>
      <c r="E176" s="8">
        <f>COUNTIF($E$138:$E$169,"Standby")</f>
        <v>0</v>
      </c>
      <c r="F176" s="8">
        <f>COUNTIF($F$138:$F$169,"Standby")</f>
        <v>0</v>
      </c>
      <c r="G176" s="8">
        <f>COUNTIF($G$138:$G$169,"Standby")</f>
        <v>0</v>
      </c>
      <c r="H176" s="8">
        <f>COUNTIF($H$138:$H$169,"Standby")</f>
        <v>0</v>
      </c>
      <c r="I176" s="8">
        <f>COUNTIF($I$138:$I$169,"Standby")</f>
        <v>0</v>
      </c>
      <c r="J176" s="8">
        <f>COUNTIF($J$138:$J$169,"Standby")</f>
        <v>0</v>
      </c>
      <c r="K176" s="8">
        <f>COUNTIF($K$138:$K$169,"Standby")</f>
        <v>0</v>
      </c>
      <c r="L176" s="8">
        <f>COUNTIF($L$138:$L$169,"Standby")</f>
        <v>0</v>
      </c>
      <c r="M176" s="9">
        <f>COUNTIF($M$138:$M$169,"Standby")</f>
        <v>0</v>
      </c>
    </row>
    <row r="177" spans="1:13">
      <c r="A177" s="42" t="s">
        <v>4</v>
      </c>
      <c r="B177" s="7">
        <f>COUNTIF($B$138:$B$169,"Yard")</f>
        <v>0</v>
      </c>
      <c r="C177" s="8">
        <f>COUNTIF($C$138:$C$169,"Yard")</f>
        <v>0</v>
      </c>
      <c r="D177" s="8">
        <f>COUNTIF($D$138:$D$169,"Yard")</f>
        <v>0</v>
      </c>
      <c r="E177" s="8">
        <f>COUNTIF($E$138:$E$169,"Yard")</f>
        <v>0</v>
      </c>
      <c r="F177" s="8">
        <f>COUNTIF($F$138:$F$169,"Yard")</f>
        <v>0</v>
      </c>
      <c r="G177" s="8">
        <f>COUNTIF($G$138:$G$169,"Yard")</f>
        <v>0</v>
      </c>
      <c r="H177" s="8">
        <f>COUNTIF($H$138:$H$169,"Yard")</f>
        <v>0</v>
      </c>
      <c r="I177" s="8">
        <f>COUNTIF($I$138:$I$169,"Yard")</f>
        <v>0</v>
      </c>
      <c r="J177" s="8">
        <f>COUNTIF($J$138:$J$169,"Yard")</f>
        <v>0</v>
      </c>
      <c r="K177" s="8">
        <f>COUNTIF($K$138:$K$169,"Yard")</f>
        <v>0</v>
      </c>
      <c r="L177" s="8">
        <f>COUNTIF($L$138:$L$169,"Yard")</f>
        <v>0</v>
      </c>
      <c r="M177" s="9">
        <f>COUNTIF($M$138:$M$169,"Yard")</f>
        <v>0</v>
      </c>
    </row>
    <row r="178" spans="1:13">
      <c r="A178" s="42" t="s">
        <v>5</v>
      </c>
      <c r="B178" s="7">
        <f>COUNTIF($B$138:$B$169,"Holiday")</f>
        <v>4</v>
      </c>
      <c r="C178" s="8">
        <f>COUNTIF($C$138:$C$169,"Holiday")</f>
        <v>4</v>
      </c>
      <c r="D178" s="8">
        <f>COUNTIF($D$138:$D$169,"Holiday")</f>
        <v>0</v>
      </c>
      <c r="E178" s="8">
        <f>COUNTIF($E$138:$E$169,"Holiday")</f>
        <v>0</v>
      </c>
      <c r="F178" s="8">
        <f>COUNTIF($F$138:$F$169,"Holiday")</f>
        <v>0</v>
      </c>
      <c r="G178" s="8">
        <f>COUNTIF($G$138:$G$169,"Holiday")</f>
        <v>0</v>
      </c>
      <c r="H178" s="8">
        <f>COUNTIF($H$138:$H$169,"Holiday")</f>
        <v>0</v>
      </c>
      <c r="I178" s="8">
        <f>COUNTIF($I$138:$I$169,"Holiday")</f>
        <v>0</v>
      </c>
      <c r="J178" s="8">
        <f>COUNTIF($J$138:$J$169,"Holiday")</f>
        <v>0</v>
      </c>
      <c r="K178" s="8">
        <f>COUNTIF($K$138:$K$169,"Holiday")</f>
        <v>0</v>
      </c>
      <c r="L178" s="8">
        <f>COUNTIF($L$138:$L$169,"Holiday")</f>
        <v>0</v>
      </c>
      <c r="M178" s="9">
        <f>COUNTIF($M$138:$M$169,"Holiday")</f>
        <v>0</v>
      </c>
    </row>
    <row r="179" spans="1:13">
      <c r="A179" s="42" t="s">
        <v>6</v>
      </c>
      <c r="B179" s="7">
        <f>COUNTIF($B$138:$B$169,"Sick")</f>
        <v>0</v>
      </c>
      <c r="C179" s="8">
        <f>COUNTIF($C$138:$C$169,"Sick")</f>
        <v>0</v>
      </c>
      <c r="D179" s="8">
        <f>COUNTIF($D$138:$D$169,"Sick")</f>
        <v>0</v>
      </c>
      <c r="E179" s="8">
        <f>COUNTIF($E$138:$E$169,"Sick")</f>
        <v>0</v>
      </c>
      <c r="F179" s="8">
        <f>COUNTIF($F$138:$F$169,"Sick")</f>
        <v>0</v>
      </c>
      <c r="G179" s="8">
        <f>COUNTIF($G$138:$G$169,"Sick")</f>
        <v>0</v>
      </c>
      <c r="H179" s="8">
        <f>COUNTIF($H$138:$H$169,"Sick")</f>
        <v>0</v>
      </c>
      <c r="I179" s="8">
        <f>COUNTIF($I$138:$I$169,"Sick")</f>
        <v>0</v>
      </c>
      <c r="J179" s="8">
        <f>COUNTIF($J$138:$J$169,"Sick")</f>
        <v>0</v>
      </c>
      <c r="K179" s="8">
        <f>COUNTIF($K$138:$K$169,"Sick")</f>
        <v>0</v>
      </c>
      <c r="L179" s="8">
        <f>COUNTIF($L$138:$L$169,"Sick")</f>
        <v>0</v>
      </c>
      <c r="M179" s="9">
        <f>COUNTIF($M$138:$M$169,"Sick")</f>
        <v>0</v>
      </c>
    </row>
    <row r="180" spans="1:13">
      <c r="A180" s="43" t="s">
        <v>7</v>
      </c>
      <c r="B180" s="10">
        <f>COUNTIF($B$138:$B$169,"Study")</f>
        <v>0</v>
      </c>
      <c r="C180" s="11">
        <f>COUNTIF($C$138:$C$169,"Study")</f>
        <v>0</v>
      </c>
      <c r="D180" s="11">
        <f>COUNTIF($D$138:$D$169,"Study")</f>
        <v>0</v>
      </c>
      <c r="E180" s="11">
        <f>COUNTIF($E$138:$E$169,"Study")</f>
        <v>0</v>
      </c>
      <c r="F180" s="11">
        <f>COUNTIF($F$138:$F$169,"Study")</f>
        <v>0</v>
      </c>
      <c r="G180" s="11">
        <f>COUNTIF($G$138:$G$169,"Study")</f>
        <v>0</v>
      </c>
      <c r="H180" s="11">
        <f>COUNTIF($H$138:$H$169,"Study")</f>
        <v>0</v>
      </c>
      <c r="I180" s="11">
        <f>COUNTIF($I$138:$I$169,"Study")</f>
        <v>0</v>
      </c>
      <c r="J180" s="11">
        <f>COUNTIF($J$138:$J$169,"Study")</f>
        <v>0</v>
      </c>
      <c r="K180" s="11">
        <f>COUNTIF($K$138:$K$169,"Study")</f>
        <v>0</v>
      </c>
      <c r="L180" s="11">
        <f>COUNTIF($L$138:$L$169,"Study")</f>
        <v>0</v>
      </c>
      <c r="M180" s="12">
        <f>COUNTIF($M$138:$M$169,"Study")</f>
        <v>0</v>
      </c>
    </row>
    <row r="181" spans="1:13" ht="15.75" thickBot="1"/>
    <row r="182" spans="1:13" ht="18.75" thickBot="1">
      <c r="A182" s="69" t="s">
        <v>52</v>
      </c>
      <c r="B182" s="70"/>
      <c r="C182" s="70"/>
      <c r="D182" s="70"/>
      <c r="E182" s="70"/>
      <c r="F182" s="70"/>
      <c r="G182" s="70"/>
      <c r="H182" s="70"/>
      <c r="I182" s="70"/>
      <c r="J182" s="70"/>
      <c r="K182" s="70"/>
      <c r="L182" s="70"/>
      <c r="M182" s="71"/>
    </row>
    <row r="184" spans="1:13">
      <c r="B184" s="57" t="s">
        <v>17</v>
      </c>
      <c r="C184" s="58" t="s">
        <v>18</v>
      </c>
      <c r="D184" s="58" t="s">
        <v>19</v>
      </c>
      <c r="E184" s="58" t="s">
        <v>20</v>
      </c>
      <c r="F184" s="58" t="s">
        <v>21</v>
      </c>
      <c r="G184" s="58" t="s">
        <v>22</v>
      </c>
      <c r="H184" s="58" t="s">
        <v>23</v>
      </c>
      <c r="I184" s="58" t="s">
        <v>24</v>
      </c>
      <c r="J184" s="58" t="s">
        <v>25</v>
      </c>
      <c r="K184" s="58" t="s">
        <v>26</v>
      </c>
      <c r="L184" s="58" t="s">
        <v>27</v>
      </c>
      <c r="M184" s="59" t="s">
        <v>28</v>
      </c>
    </row>
    <row r="185" spans="1:13">
      <c r="A185" s="41">
        <v>1</v>
      </c>
      <c r="B185" s="4"/>
      <c r="C185" s="5"/>
      <c r="D185" s="5"/>
      <c r="E185" s="5"/>
      <c r="F185" s="5"/>
      <c r="G185" s="5"/>
      <c r="H185" s="5"/>
      <c r="I185" s="5"/>
      <c r="J185" s="5"/>
      <c r="K185" s="5"/>
      <c r="L185" s="5"/>
      <c r="M185" s="6"/>
    </row>
    <row r="186" spans="1:13">
      <c r="A186" s="42">
        <v>2</v>
      </c>
      <c r="B186" s="7"/>
      <c r="C186" s="8"/>
      <c r="D186" s="8"/>
      <c r="E186" s="8"/>
      <c r="F186" s="8"/>
      <c r="G186" s="8"/>
      <c r="H186" s="8"/>
      <c r="I186" s="8"/>
      <c r="J186" s="8"/>
      <c r="K186" s="8"/>
      <c r="L186" s="8"/>
      <c r="M186" s="9"/>
    </row>
    <row r="187" spans="1:13">
      <c r="A187" s="42">
        <v>3</v>
      </c>
      <c r="B187" s="7"/>
      <c r="C187" s="8"/>
      <c r="D187" s="8"/>
      <c r="E187" s="8"/>
      <c r="F187" s="8"/>
      <c r="G187" s="8"/>
      <c r="H187" s="8"/>
      <c r="I187" s="8"/>
      <c r="J187" s="8"/>
      <c r="K187" s="8"/>
      <c r="L187" s="8"/>
      <c r="M187" s="9"/>
    </row>
    <row r="188" spans="1:13">
      <c r="A188" s="42">
        <v>4</v>
      </c>
      <c r="B188" s="7"/>
      <c r="C188" s="8"/>
      <c r="D188" s="8"/>
      <c r="E188" s="8"/>
      <c r="F188" s="8"/>
      <c r="G188" s="8"/>
      <c r="H188" s="8"/>
      <c r="I188" s="8"/>
      <c r="J188" s="8"/>
      <c r="K188" s="8"/>
      <c r="L188" s="8"/>
      <c r="M188" s="9"/>
    </row>
    <row r="189" spans="1:13">
      <c r="A189" s="42">
        <v>5</v>
      </c>
      <c r="B189" s="7"/>
      <c r="C189" s="8"/>
      <c r="D189" s="8"/>
      <c r="E189" s="8"/>
      <c r="F189" s="8"/>
      <c r="G189" s="8"/>
      <c r="H189" s="8"/>
      <c r="I189" s="8"/>
      <c r="J189" s="8"/>
      <c r="K189" s="8"/>
      <c r="L189" s="8"/>
      <c r="M189" s="9"/>
    </row>
    <row r="190" spans="1:13">
      <c r="A190" s="42">
        <v>6</v>
      </c>
      <c r="B190" s="7"/>
      <c r="C190" s="8"/>
      <c r="D190" s="8"/>
      <c r="E190" s="8"/>
      <c r="F190" s="8"/>
      <c r="G190" s="8"/>
      <c r="H190" s="8"/>
      <c r="I190" s="8"/>
      <c r="J190" s="8"/>
      <c r="K190" s="8"/>
      <c r="L190" s="8"/>
      <c r="M190" s="9"/>
    </row>
    <row r="191" spans="1:13">
      <c r="A191" s="42">
        <v>7</v>
      </c>
      <c r="B191" s="7"/>
      <c r="C191" s="8"/>
      <c r="D191" s="8"/>
      <c r="E191" s="8"/>
      <c r="F191" s="8"/>
      <c r="G191" s="8"/>
      <c r="H191" s="8"/>
      <c r="I191" s="8"/>
      <c r="J191" s="8"/>
      <c r="K191" s="8"/>
      <c r="L191" s="8"/>
      <c r="M191" s="9"/>
    </row>
    <row r="192" spans="1:13">
      <c r="A192" s="42">
        <v>8</v>
      </c>
      <c r="B192" s="7"/>
      <c r="C192" s="8"/>
      <c r="D192" s="8"/>
      <c r="E192" s="8"/>
      <c r="F192" s="8"/>
      <c r="G192" s="8"/>
      <c r="H192" s="8"/>
      <c r="I192" s="8"/>
      <c r="J192" s="8"/>
      <c r="K192" s="8"/>
      <c r="L192" s="8"/>
      <c r="M192" s="9"/>
    </row>
    <row r="193" spans="1:13">
      <c r="A193" s="42">
        <v>9</v>
      </c>
      <c r="B193" s="7"/>
      <c r="C193" s="8"/>
      <c r="D193" s="8"/>
      <c r="E193" s="8"/>
      <c r="F193" s="8"/>
      <c r="G193" s="8"/>
      <c r="H193" s="8"/>
      <c r="I193" s="8"/>
      <c r="J193" s="8"/>
      <c r="K193" s="8"/>
      <c r="L193" s="8"/>
      <c r="M193" s="9"/>
    </row>
    <row r="194" spans="1:13">
      <c r="A194" s="42">
        <v>10</v>
      </c>
      <c r="B194" s="7"/>
      <c r="C194" s="8"/>
      <c r="D194" s="8"/>
      <c r="E194" s="8"/>
      <c r="F194" s="8"/>
      <c r="G194" s="8"/>
      <c r="H194" s="8"/>
      <c r="I194" s="8"/>
      <c r="J194" s="8"/>
      <c r="K194" s="8"/>
      <c r="L194" s="8"/>
      <c r="M194" s="9"/>
    </row>
    <row r="195" spans="1:13">
      <c r="A195" s="42">
        <v>11</v>
      </c>
      <c r="B195" s="7"/>
      <c r="C195" s="8"/>
      <c r="D195" s="8"/>
      <c r="E195" s="8"/>
      <c r="F195" s="8"/>
      <c r="G195" s="8"/>
      <c r="H195" s="8"/>
      <c r="I195" s="8"/>
      <c r="J195" s="8"/>
      <c r="K195" s="8"/>
      <c r="L195" s="8"/>
      <c r="M195" s="9"/>
    </row>
    <row r="196" spans="1:13">
      <c r="A196" s="42">
        <v>12</v>
      </c>
      <c r="B196" s="7"/>
      <c r="C196" s="8"/>
      <c r="D196" s="8"/>
      <c r="E196" s="8"/>
      <c r="F196" s="8"/>
      <c r="G196" s="8"/>
      <c r="H196" s="8"/>
      <c r="I196" s="8"/>
      <c r="J196" s="8"/>
      <c r="K196" s="8"/>
      <c r="L196" s="8"/>
      <c r="M196" s="9"/>
    </row>
    <row r="197" spans="1:13">
      <c r="A197" s="42">
        <v>13</v>
      </c>
      <c r="B197" s="7"/>
      <c r="C197" s="8"/>
      <c r="D197" s="8"/>
      <c r="E197" s="8"/>
      <c r="F197" s="8"/>
      <c r="G197" s="8"/>
      <c r="H197" s="8"/>
      <c r="I197" s="8"/>
      <c r="J197" s="8"/>
      <c r="K197" s="8"/>
      <c r="L197" s="8"/>
      <c r="M197" s="9"/>
    </row>
    <row r="198" spans="1:13">
      <c r="A198" s="42">
        <v>14</v>
      </c>
      <c r="B198" s="7"/>
      <c r="C198" s="8"/>
      <c r="D198" s="8"/>
      <c r="E198" s="8"/>
      <c r="F198" s="8"/>
      <c r="G198" s="8"/>
      <c r="H198" s="8"/>
      <c r="I198" s="8"/>
      <c r="J198" s="8"/>
      <c r="K198" s="8"/>
      <c r="L198" s="8"/>
      <c r="M198" s="9"/>
    </row>
    <row r="199" spans="1:13">
      <c r="A199" s="42">
        <v>15</v>
      </c>
      <c r="B199" s="7"/>
      <c r="C199" s="8"/>
      <c r="D199" s="8"/>
      <c r="E199" s="8"/>
      <c r="F199" s="8"/>
      <c r="G199" s="8"/>
      <c r="H199" s="8"/>
      <c r="I199" s="8"/>
      <c r="J199" s="8"/>
      <c r="K199" s="8"/>
      <c r="L199" s="8"/>
      <c r="M199" s="9"/>
    </row>
    <row r="200" spans="1:13">
      <c r="A200" s="42">
        <v>16</v>
      </c>
      <c r="B200" s="7"/>
      <c r="C200" s="8"/>
      <c r="D200" s="8"/>
      <c r="E200" s="8"/>
      <c r="F200" s="8"/>
      <c r="G200" s="8"/>
      <c r="H200" s="8"/>
      <c r="I200" s="8"/>
      <c r="J200" s="8"/>
      <c r="K200" s="8"/>
      <c r="L200" s="8"/>
      <c r="M200" s="9"/>
    </row>
    <row r="201" spans="1:13">
      <c r="A201" s="42">
        <v>17</v>
      </c>
      <c r="B201" s="7"/>
      <c r="C201" s="8"/>
      <c r="D201" s="8"/>
      <c r="E201" s="8"/>
      <c r="F201" s="8"/>
      <c r="G201" s="8"/>
      <c r="H201" s="8"/>
      <c r="I201" s="8"/>
      <c r="J201" s="8"/>
      <c r="K201" s="8"/>
      <c r="L201" s="8"/>
      <c r="M201" s="9"/>
    </row>
    <row r="202" spans="1:13">
      <c r="A202" s="42">
        <v>18</v>
      </c>
      <c r="B202" s="7"/>
      <c r="C202" s="8"/>
      <c r="D202" s="8"/>
      <c r="E202" s="8"/>
      <c r="F202" s="8"/>
      <c r="G202" s="8"/>
      <c r="H202" s="8"/>
      <c r="I202" s="8"/>
      <c r="J202" s="8"/>
      <c r="K202" s="8"/>
      <c r="L202" s="8"/>
      <c r="M202" s="9"/>
    </row>
    <row r="203" spans="1:13">
      <c r="A203" s="42">
        <v>19</v>
      </c>
      <c r="B203" s="7"/>
      <c r="C203" s="8"/>
      <c r="D203" s="8"/>
      <c r="E203" s="8"/>
      <c r="F203" s="8"/>
      <c r="G203" s="8"/>
      <c r="H203" s="8"/>
      <c r="I203" s="8"/>
      <c r="J203" s="8"/>
      <c r="K203" s="8"/>
      <c r="L203" s="8"/>
      <c r="M203" s="9"/>
    </row>
    <row r="204" spans="1:13">
      <c r="A204" s="42">
        <v>20</v>
      </c>
      <c r="B204" s="7"/>
      <c r="C204" s="8"/>
      <c r="D204" s="8"/>
      <c r="E204" s="8"/>
      <c r="F204" s="8"/>
      <c r="G204" s="8"/>
      <c r="H204" s="8"/>
      <c r="I204" s="8"/>
      <c r="J204" s="8"/>
      <c r="K204" s="8"/>
      <c r="L204" s="8"/>
      <c r="M204" s="9"/>
    </row>
    <row r="205" spans="1:13">
      <c r="A205" s="42">
        <v>21</v>
      </c>
      <c r="B205" s="7"/>
      <c r="C205" s="8"/>
      <c r="D205" s="8"/>
      <c r="E205" s="8"/>
      <c r="F205" s="8"/>
      <c r="G205" s="8"/>
      <c r="H205" s="8"/>
      <c r="I205" s="8"/>
      <c r="J205" s="8"/>
      <c r="K205" s="8"/>
      <c r="L205" s="8"/>
      <c r="M205" s="9"/>
    </row>
    <row r="206" spans="1:13">
      <c r="A206" s="42">
        <v>22</v>
      </c>
      <c r="B206" s="7"/>
      <c r="C206" s="8"/>
      <c r="D206" s="8"/>
      <c r="E206" s="8"/>
      <c r="F206" s="8"/>
      <c r="G206" s="8"/>
      <c r="H206" s="8"/>
      <c r="I206" s="8"/>
      <c r="J206" s="8"/>
      <c r="K206" s="8"/>
      <c r="L206" s="8"/>
      <c r="M206" s="9"/>
    </row>
    <row r="207" spans="1:13">
      <c r="A207" s="42">
        <v>23</v>
      </c>
      <c r="B207" s="7"/>
      <c r="C207" s="8"/>
      <c r="D207" s="8"/>
      <c r="E207" s="8"/>
      <c r="F207" s="8"/>
      <c r="G207" s="8"/>
      <c r="H207" s="8"/>
      <c r="I207" s="8"/>
      <c r="J207" s="8"/>
      <c r="K207" s="8"/>
      <c r="L207" s="8"/>
      <c r="M207" s="9"/>
    </row>
    <row r="208" spans="1:13">
      <c r="A208" s="42">
        <v>24</v>
      </c>
      <c r="B208" s="7"/>
      <c r="C208" s="8"/>
      <c r="D208" s="8"/>
      <c r="E208" s="8"/>
      <c r="F208" s="8"/>
      <c r="G208" s="8"/>
      <c r="H208" s="8"/>
      <c r="I208" s="8"/>
      <c r="J208" s="8"/>
      <c r="K208" s="8"/>
      <c r="L208" s="8"/>
      <c r="M208" s="9"/>
    </row>
    <row r="209" spans="1:13">
      <c r="A209" s="42">
        <v>25</v>
      </c>
      <c r="B209" s="7"/>
      <c r="C209" s="8"/>
      <c r="D209" s="8"/>
      <c r="E209" s="8"/>
      <c r="F209" s="8"/>
      <c r="G209" s="8"/>
      <c r="H209" s="8"/>
      <c r="I209" s="8"/>
      <c r="J209" s="8"/>
      <c r="K209" s="8"/>
      <c r="L209" s="8"/>
      <c r="M209" s="9"/>
    </row>
    <row r="210" spans="1:13">
      <c r="A210" s="42">
        <v>26</v>
      </c>
      <c r="B210" s="7"/>
      <c r="C210" s="8"/>
      <c r="D210" s="8"/>
      <c r="E210" s="8"/>
      <c r="F210" s="8"/>
      <c r="G210" s="8"/>
      <c r="H210" s="8"/>
      <c r="I210" s="8"/>
      <c r="J210" s="8"/>
      <c r="K210" s="8"/>
      <c r="L210" s="8"/>
      <c r="M210" s="9"/>
    </row>
    <row r="211" spans="1:13">
      <c r="A211" s="42">
        <v>27</v>
      </c>
      <c r="B211" s="7"/>
      <c r="C211" s="8"/>
      <c r="D211" s="8"/>
      <c r="E211" s="8"/>
      <c r="F211" s="8"/>
      <c r="G211" s="8"/>
      <c r="H211" s="8"/>
      <c r="I211" s="8"/>
      <c r="J211" s="8"/>
      <c r="K211" s="8"/>
      <c r="L211" s="8"/>
      <c r="M211" s="9"/>
    </row>
    <row r="212" spans="1:13">
      <c r="A212" s="42">
        <v>28</v>
      </c>
      <c r="B212" s="7"/>
      <c r="C212" s="8"/>
      <c r="D212" s="8"/>
      <c r="E212" s="8"/>
      <c r="F212" s="8"/>
      <c r="G212" s="8"/>
      <c r="H212" s="8"/>
      <c r="I212" s="8"/>
      <c r="J212" s="8"/>
      <c r="K212" s="8"/>
      <c r="L212" s="8"/>
      <c r="M212" s="9"/>
    </row>
    <row r="213" spans="1:13">
      <c r="A213" s="42">
        <v>29</v>
      </c>
      <c r="B213" s="7"/>
      <c r="C213" s="8"/>
      <c r="D213" s="8"/>
      <c r="E213" s="8"/>
      <c r="F213" s="8"/>
      <c r="G213" s="8"/>
      <c r="H213" s="8"/>
      <c r="I213" s="8"/>
      <c r="J213" s="8"/>
      <c r="K213" s="8"/>
      <c r="L213" s="8"/>
      <c r="M213" s="9"/>
    </row>
    <row r="214" spans="1:13">
      <c r="A214" s="42">
        <v>30</v>
      </c>
      <c r="B214" s="7"/>
      <c r="C214" s="8"/>
      <c r="D214" s="8"/>
      <c r="E214" s="8"/>
      <c r="F214" s="8"/>
      <c r="G214" s="8"/>
      <c r="H214" s="8"/>
      <c r="I214" s="8"/>
      <c r="J214" s="8"/>
      <c r="K214" s="8"/>
      <c r="L214" s="8"/>
      <c r="M214" s="9"/>
    </row>
    <row r="215" spans="1:13">
      <c r="A215" s="43">
        <v>31</v>
      </c>
      <c r="B215" s="10"/>
      <c r="C215" s="11"/>
      <c r="D215" s="11"/>
      <c r="E215" s="11"/>
      <c r="F215" s="11"/>
      <c r="G215" s="11"/>
      <c r="H215" s="11"/>
      <c r="I215" s="11"/>
      <c r="J215" s="11"/>
      <c r="K215" s="11"/>
      <c r="L215" s="11"/>
      <c r="M215" s="12"/>
    </row>
    <row r="217" spans="1:13" ht="15.75">
      <c r="A217" s="72" t="s">
        <v>29</v>
      </c>
      <c r="B217" s="72"/>
      <c r="C217" s="72"/>
      <c r="D217" s="72"/>
      <c r="E217" s="72"/>
      <c r="F217" s="72"/>
      <c r="G217" s="72"/>
      <c r="H217" s="72"/>
      <c r="I217" s="72"/>
      <c r="J217" s="72"/>
      <c r="K217" s="72"/>
      <c r="L217" s="72"/>
      <c r="M217" s="72"/>
    </row>
    <row r="218" spans="1:13">
      <c r="B218" s="57" t="s">
        <v>17</v>
      </c>
      <c r="C218" s="58" t="s">
        <v>18</v>
      </c>
      <c r="D218" s="58" t="s">
        <v>19</v>
      </c>
      <c r="E218" s="58" t="s">
        <v>20</v>
      </c>
      <c r="F218" s="58" t="s">
        <v>21</v>
      </c>
      <c r="G218" s="58" t="s">
        <v>22</v>
      </c>
      <c r="H218" s="58" t="s">
        <v>23</v>
      </c>
      <c r="I218" s="58" t="s">
        <v>24</v>
      </c>
      <c r="J218" s="58" t="s">
        <v>25</v>
      </c>
      <c r="K218" s="58" t="s">
        <v>26</v>
      </c>
      <c r="L218" s="58" t="s">
        <v>27</v>
      </c>
      <c r="M218" s="59" t="s">
        <v>28</v>
      </c>
    </row>
    <row r="219" spans="1:13">
      <c r="A219" s="41" t="s">
        <v>3</v>
      </c>
      <c r="B219" s="4">
        <f>COUNTIF($B$184:$B$215,"Anchor")</f>
        <v>0</v>
      </c>
      <c r="C219" s="5">
        <f>COUNTIF($C$184:$C$215,"Anchor")</f>
        <v>0</v>
      </c>
      <c r="D219" s="5">
        <f>COUNTIF($D$184:$D$215,"Anchor")</f>
        <v>0</v>
      </c>
      <c r="E219" s="5">
        <f>COUNTIF($E$184:$E$215,"Anchor")</f>
        <v>0</v>
      </c>
      <c r="F219" s="5">
        <f>COUNTIF($F$184:$F$215,"Anchor")</f>
        <v>0</v>
      </c>
      <c r="G219" s="5">
        <f>COUNTIF($G$184:$G$215,"Anchor")</f>
        <v>0</v>
      </c>
      <c r="H219" s="5">
        <f>COUNTIF($H$184:$H$215,"Anchor")</f>
        <v>0</v>
      </c>
      <c r="I219" s="5">
        <f>COUNTIF($I$184:$I$215,"Anchor")</f>
        <v>0</v>
      </c>
      <c r="J219" s="5">
        <f>COUNTIF($J$184:$J$215,"Anchor")</f>
        <v>0</v>
      </c>
      <c r="K219" s="5">
        <f>COUNTIF($K$184:$K$215,"Anchor")</f>
        <v>0</v>
      </c>
      <c r="L219" s="5">
        <f>COUNTIF($L$184:$L$215,"Anchor")</f>
        <v>0</v>
      </c>
      <c r="M219" s="6">
        <f>COUNTIF($M$184:$M$215,"Anchor")</f>
        <v>0</v>
      </c>
    </row>
    <row r="220" spans="1:13">
      <c r="A220" s="42" t="s">
        <v>1</v>
      </c>
      <c r="B220" s="7">
        <f>COUNTIF($B$184:$B$215,"At Sea")</f>
        <v>0</v>
      </c>
      <c r="C220" s="8">
        <f>COUNTIF($C$184:$C$215,"At Sea")</f>
        <v>0</v>
      </c>
      <c r="D220" s="8">
        <f>COUNTIF($D$184:$D$215,"At Sea")</f>
        <v>0</v>
      </c>
      <c r="E220" s="8">
        <f>COUNTIF($E$184:$E$215,"At Sea")</f>
        <v>0</v>
      </c>
      <c r="F220" s="8">
        <f>COUNTIF($F$184:$F$215,"At Sea")</f>
        <v>0</v>
      </c>
      <c r="G220" s="8">
        <f>COUNTIF($G$184:$G$215,"At Sea")</f>
        <v>0</v>
      </c>
      <c r="H220" s="8">
        <f>COUNTIF($H$184:$H$215,"At Sea")</f>
        <v>0</v>
      </c>
      <c r="I220" s="8">
        <f>COUNTIF($I$184:$I$215,"At Sea")</f>
        <v>0</v>
      </c>
      <c r="J220" s="8">
        <f>COUNTIF($J$184:$J$215,"At Sea")</f>
        <v>0</v>
      </c>
      <c r="K220" s="8">
        <f>COUNTIF($K$184:$K$215,"At Sea")</f>
        <v>0</v>
      </c>
      <c r="L220" s="8">
        <f>COUNTIF($L$184:$L$215,"At Sea")</f>
        <v>0</v>
      </c>
      <c r="M220" s="9">
        <f>COUNTIF($M$184:$M$215,"At Sea")</f>
        <v>0</v>
      </c>
    </row>
    <row r="221" spans="1:13">
      <c r="A221" s="42" t="s">
        <v>2</v>
      </c>
      <c r="B221" s="7">
        <f>COUNTIF($B$184:$B$215,"On Dock")</f>
        <v>0</v>
      </c>
      <c r="C221" s="8">
        <f>COUNTIF($C$184:$C$215,"On Dock")</f>
        <v>0</v>
      </c>
      <c r="D221" s="8">
        <f>COUNTIF($D$184:$D$215,"On Dock")</f>
        <v>0</v>
      </c>
      <c r="E221" s="8">
        <f>COUNTIF($E$184:$E$215,"On Dock")</f>
        <v>0</v>
      </c>
      <c r="F221" s="8">
        <f>COUNTIF($F$184:$F$215,"On Dock")</f>
        <v>0</v>
      </c>
      <c r="G221" s="8">
        <f>COUNTIF($G$184:$G$215,"On Dock")</f>
        <v>0</v>
      </c>
      <c r="H221" s="8">
        <f>COUNTIF($H$184:$H$215,"On Dock")</f>
        <v>0</v>
      </c>
      <c r="I221" s="8">
        <f>COUNTIF($I$184:$I$215,"On Dock")</f>
        <v>0</v>
      </c>
      <c r="J221" s="8">
        <f>COUNTIF($J$184:$J$215,"On Dock")</f>
        <v>0</v>
      </c>
      <c r="K221" s="8">
        <f>COUNTIF($K$184:$K$215,"On Dock")</f>
        <v>0</v>
      </c>
      <c r="L221" s="8">
        <f>COUNTIF($L$184:$L$215,"On Dock")</f>
        <v>0</v>
      </c>
      <c r="M221" s="9">
        <f>COUNTIF($M$184:$M$215,"On Dock")</f>
        <v>0</v>
      </c>
    </row>
    <row r="222" spans="1:13">
      <c r="A222" s="42" t="s">
        <v>51</v>
      </c>
      <c r="B222" s="7">
        <f>COUNTIF($B$184:$B$215,"Standby")</f>
        <v>0</v>
      </c>
      <c r="C222" s="8">
        <f>COUNTIF($C$184:$C$215,"Standby")</f>
        <v>0</v>
      </c>
      <c r="D222" s="8">
        <f>COUNTIF($D$184:$D$215,"Standby")</f>
        <v>0</v>
      </c>
      <c r="E222" s="8">
        <f>COUNTIF($E$184:$E$215,"Standby")</f>
        <v>0</v>
      </c>
      <c r="F222" s="8">
        <f>COUNTIF($F$184:$F$215,"Standby")</f>
        <v>0</v>
      </c>
      <c r="G222" s="8">
        <f>COUNTIF($G$184:$G$215,"Standby")</f>
        <v>0</v>
      </c>
      <c r="H222" s="8">
        <f>COUNTIF($H$184:$H$215,"Standby")</f>
        <v>0</v>
      </c>
      <c r="I222" s="8">
        <f>COUNTIF($I$184:$I$215,"Standby")</f>
        <v>0</v>
      </c>
      <c r="J222" s="8">
        <f>COUNTIF($J$184:$J$215,"Standby")</f>
        <v>0</v>
      </c>
      <c r="K222" s="8">
        <f>COUNTIF($K$184:$K$215,"Standby")</f>
        <v>0</v>
      </c>
      <c r="L222" s="8">
        <f>COUNTIF($L$184:$L$215,"Standby")</f>
        <v>0</v>
      </c>
      <c r="M222" s="9">
        <f>COUNTIF($M$184:$M$215,"Standby")</f>
        <v>0</v>
      </c>
    </row>
    <row r="223" spans="1:13">
      <c r="A223" s="42" t="s">
        <v>4</v>
      </c>
      <c r="B223" s="7">
        <f>COUNTIF($B$184:$B$215,"Yard")</f>
        <v>0</v>
      </c>
      <c r="C223" s="8">
        <f>COUNTIF($C$184:$C$215,"Yard")</f>
        <v>0</v>
      </c>
      <c r="D223" s="8">
        <f>COUNTIF($D$184:$D$215,"Yard")</f>
        <v>0</v>
      </c>
      <c r="E223" s="8">
        <f>COUNTIF($E$184:$E$215,"Yard")</f>
        <v>0</v>
      </c>
      <c r="F223" s="8">
        <f>COUNTIF($F$184:$F$215,"Yard")</f>
        <v>0</v>
      </c>
      <c r="G223" s="8">
        <f>COUNTIF($G$184:$G$215,"Yard")</f>
        <v>0</v>
      </c>
      <c r="H223" s="8">
        <f>COUNTIF($H$184:$H$215,"Yard")</f>
        <v>0</v>
      </c>
      <c r="I223" s="8">
        <f>COUNTIF($I$184:$I$215,"Yard")</f>
        <v>0</v>
      </c>
      <c r="J223" s="8">
        <f>COUNTIF($J$184:$J$215,"Yard")</f>
        <v>0</v>
      </c>
      <c r="K223" s="8">
        <f>COUNTIF($K$184:$K$215,"Yard")</f>
        <v>0</v>
      </c>
      <c r="L223" s="8">
        <f>COUNTIF($L$184:$L$215,"Yard")</f>
        <v>0</v>
      </c>
      <c r="M223" s="9">
        <f>COUNTIF($M$184:$M$215,"Yard")</f>
        <v>0</v>
      </c>
    </row>
    <row r="224" spans="1:13">
      <c r="A224" s="42" t="s">
        <v>5</v>
      </c>
      <c r="B224" s="7">
        <f>COUNTIF($B$184:$B$215,"Holiday")</f>
        <v>0</v>
      </c>
      <c r="C224" s="8">
        <f>COUNTIF($C$184:$C$215,"Holiday")</f>
        <v>0</v>
      </c>
      <c r="D224" s="8">
        <f>COUNTIF($D$184:$D$215,"Holiday")</f>
        <v>0</v>
      </c>
      <c r="E224" s="8">
        <f>COUNTIF($E$184:$E$215,"Holiday")</f>
        <v>0</v>
      </c>
      <c r="F224" s="8">
        <f>COUNTIF($F$184:$F$215,"Holiday")</f>
        <v>0</v>
      </c>
      <c r="G224" s="8">
        <f>COUNTIF($G$184:$G$215,"Holiday")</f>
        <v>0</v>
      </c>
      <c r="H224" s="8">
        <f>COUNTIF($H$184:$H$215,"Holiday")</f>
        <v>0</v>
      </c>
      <c r="I224" s="8">
        <f>COUNTIF($I$184:$I$215,"Holiday")</f>
        <v>0</v>
      </c>
      <c r="J224" s="8">
        <f>COUNTIF($J$184:$J$215,"Holiday")</f>
        <v>0</v>
      </c>
      <c r="K224" s="8">
        <f>COUNTIF($K$184:$K$215,"Holiday")</f>
        <v>0</v>
      </c>
      <c r="L224" s="8">
        <f>COUNTIF($L$184:$L$215,"Holiday")</f>
        <v>0</v>
      </c>
      <c r="M224" s="9">
        <f>COUNTIF($M$184:$M$215,"Holiday")</f>
        <v>0</v>
      </c>
    </row>
    <row r="225" spans="1:13">
      <c r="A225" s="42" t="s">
        <v>6</v>
      </c>
      <c r="B225" s="7">
        <f>COUNTIF($B$184:$B$215,"Sick")</f>
        <v>0</v>
      </c>
      <c r="C225" s="8">
        <f>COUNTIF($C$184:$C$215,"Sick")</f>
        <v>0</v>
      </c>
      <c r="D225" s="8">
        <f>COUNTIF($D$184:$D$215,"Sick")</f>
        <v>0</v>
      </c>
      <c r="E225" s="8">
        <f>COUNTIF($E$184:$E$215,"Sick")</f>
        <v>0</v>
      </c>
      <c r="F225" s="8">
        <f>COUNTIF($F$184:$F$215,"Sick")</f>
        <v>0</v>
      </c>
      <c r="G225" s="8">
        <f>COUNTIF($G$184:$G$215,"Sick")</f>
        <v>0</v>
      </c>
      <c r="H225" s="8">
        <f>COUNTIF($H$184:$H$215,"Sick")</f>
        <v>0</v>
      </c>
      <c r="I225" s="8">
        <f>COUNTIF($I$184:$I$215,"Sick")</f>
        <v>0</v>
      </c>
      <c r="J225" s="8">
        <f>COUNTIF($J$184:$J$215,"Sick")</f>
        <v>0</v>
      </c>
      <c r="K225" s="8">
        <f>COUNTIF($K$184:$K$215,"Sick")</f>
        <v>0</v>
      </c>
      <c r="L225" s="8">
        <f>COUNTIF($L$184:$L$215,"Sick")</f>
        <v>0</v>
      </c>
      <c r="M225" s="9">
        <f>COUNTIF($M$184:$M$215,"Sick")</f>
        <v>0</v>
      </c>
    </row>
    <row r="226" spans="1:13">
      <c r="A226" s="43" t="s">
        <v>7</v>
      </c>
      <c r="B226" s="10">
        <f>COUNTIF($B$184:$B$215,"Study")</f>
        <v>0</v>
      </c>
      <c r="C226" s="11">
        <f>COUNTIF($C$184:$C$215,"Study")</f>
        <v>0</v>
      </c>
      <c r="D226" s="11">
        <f>COUNTIF($D$184:$D$215,"Study")</f>
        <v>0</v>
      </c>
      <c r="E226" s="11">
        <f>COUNTIF($E$184:$E$215,"Study")</f>
        <v>0</v>
      </c>
      <c r="F226" s="11">
        <f>COUNTIF($F$184:$F$215,"Study")</f>
        <v>0</v>
      </c>
      <c r="G226" s="11">
        <f>COUNTIF($G$184:$G$215,"Study")</f>
        <v>0</v>
      </c>
      <c r="H226" s="11">
        <f>COUNTIF($H$184:$H$215,"Study")</f>
        <v>0</v>
      </c>
      <c r="I226" s="11">
        <f>COUNTIF($I$184:$I$215,"Study")</f>
        <v>0</v>
      </c>
      <c r="J226" s="11">
        <f>COUNTIF($J$184:$J$215,"Study")</f>
        <v>0</v>
      </c>
      <c r="K226" s="11">
        <f>COUNTIF($K$184:$K$215,"Study")</f>
        <v>0</v>
      </c>
      <c r="L226" s="11">
        <f>COUNTIF($L$184:$L$215,"Study")</f>
        <v>0</v>
      </c>
      <c r="M226" s="12">
        <f>COUNTIF($M$184:$M$215,"Study")</f>
        <v>0</v>
      </c>
    </row>
    <row r="227" spans="1:13" ht="15.75" thickBot="1"/>
    <row r="228" spans="1:13" ht="18.75" thickBot="1">
      <c r="A228" s="69" t="s">
        <v>50</v>
      </c>
      <c r="B228" s="70"/>
      <c r="C228" s="70"/>
      <c r="D228" s="70"/>
      <c r="E228" s="70"/>
      <c r="F228" s="70"/>
      <c r="G228" s="70"/>
      <c r="H228" s="70"/>
      <c r="I228" s="70"/>
      <c r="J228" s="70"/>
      <c r="K228" s="70"/>
      <c r="L228" s="70"/>
      <c r="M228" s="71"/>
    </row>
    <row r="230" spans="1:13">
      <c r="B230" s="57" t="s">
        <v>17</v>
      </c>
      <c r="C230" s="58" t="s">
        <v>18</v>
      </c>
      <c r="D230" s="58" t="s">
        <v>19</v>
      </c>
      <c r="E230" s="58" t="s">
        <v>20</v>
      </c>
      <c r="F230" s="58" t="s">
        <v>21</v>
      </c>
      <c r="G230" s="58" t="s">
        <v>22</v>
      </c>
      <c r="H230" s="58" t="s">
        <v>23</v>
      </c>
      <c r="I230" s="58" t="s">
        <v>24</v>
      </c>
      <c r="J230" s="58" t="s">
        <v>25</v>
      </c>
      <c r="K230" s="58" t="s">
        <v>26</v>
      </c>
      <c r="L230" s="58" t="s">
        <v>27</v>
      </c>
      <c r="M230" s="59" t="s">
        <v>28</v>
      </c>
    </row>
    <row r="231" spans="1:13">
      <c r="A231" s="41">
        <v>1</v>
      </c>
      <c r="B231" s="4"/>
      <c r="C231" s="5"/>
      <c r="D231" s="5"/>
      <c r="E231" s="5"/>
      <c r="F231" s="5"/>
      <c r="G231" s="5"/>
      <c r="H231" s="5"/>
      <c r="I231" s="5"/>
      <c r="J231" s="5"/>
      <c r="K231" s="5"/>
      <c r="L231" s="5"/>
      <c r="M231" s="6"/>
    </row>
    <row r="232" spans="1:13">
      <c r="A232" s="42">
        <v>2</v>
      </c>
      <c r="B232" s="7"/>
      <c r="C232" s="8"/>
      <c r="D232" s="8"/>
      <c r="E232" s="8"/>
      <c r="F232" s="8"/>
      <c r="G232" s="8"/>
      <c r="H232" s="8"/>
      <c r="I232" s="8"/>
      <c r="J232" s="8"/>
      <c r="K232" s="8"/>
      <c r="L232" s="8"/>
      <c r="M232" s="9"/>
    </row>
    <row r="233" spans="1:13">
      <c r="A233" s="42">
        <v>3</v>
      </c>
      <c r="B233" s="7"/>
      <c r="C233" s="8"/>
      <c r="D233" s="8"/>
      <c r="E233" s="8"/>
      <c r="F233" s="8"/>
      <c r="G233" s="8"/>
      <c r="H233" s="8"/>
      <c r="I233" s="8"/>
      <c r="J233" s="8"/>
      <c r="K233" s="8"/>
      <c r="L233" s="8"/>
      <c r="M233" s="9"/>
    </row>
    <row r="234" spans="1:13">
      <c r="A234" s="42">
        <v>4</v>
      </c>
      <c r="B234" s="7"/>
      <c r="C234" s="8"/>
      <c r="D234" s="8"/>
      <c r="E234" s="8"/>
      <c r="F234" s="8"/>
      <c r="G234" s="8"/>
      <c r="H234" s="8"/>
      <c r="I234" s="8"/>
      <c r="J234" s="8"/>
      <c r="K234" s="8"/>
      <c r="L234" s="8"/>
      <c r="M234" s="9"/>
    </row>
    <row r="235" spans="1:13">
      <c r="A235" s="42">
        <v>5</v>
      </c>
      <c r="B235" s="7"/>
      <c r="C235" s="8"/>
      <c r="D235" s="8"/>
      <c r="E235" s="8"/>
      <c r="F235" s="8"/>
      <c r="G235" s="8"/>
      <c r="H235" s="8"/>
      <c r="I235" s="8"/>
      <c r="J235" s="8"/>
      <c r="K235" s="8"/>
      <c r="L235" s="8"/>
      <c r="M235" s="9"/>
    </row>
    <row r="236" spans="1:13">
      <c r="A236" s="42">
        <v>6</v>
      </c>
      <c r="B236" s="7"/>
      <c r="C236" s="8"/>
      <c r="D236" s="8"/>
      <c r="E236" s="8"/>
      <c r="F236" s="8"/>
      <c r="G236" s="8"/>
      <c r="H236" s="8"/>
      <c r="I236" s="8"/>
      <c r="J236" s="8"/>
      <c r="K236" s="8"/>
      <c r="L236" s="8"/>
      <c r="M236" s="9"/>
    </row>
    <row r="237" spans="1:13">
      <c r="A237" s="42">
        <v>7</v>
      </c>
      <c r="B237" s="7"/>
      <c r="C237" s="8"/>
      <c r="D237" s="8"/>
      <c r="E237" s="8"/>
      <c r="F237" s="8"/>
      <c r="G237" s="8"/>
      <c r="H237" s="8"/>
      <c r="I237" s="8"/>
      <c r="J237" s="8"/>
      <c r="K237" s="8"/>
      <c r="L237" s="8"/>
      <c r="M237" s="9"/>
    </row>
    <row r="238" spans="1:13">
      <c r="A238" s="42">
        <v>8</v>
      </c>
      <c r="B238" s="7"/>
      <c r="C238" s="8"/>
      <c r="D238" s="8"/>
      <c r="E238" s="8"/>
      <c r="F238" s="8"/>
      <c r="G238" s="8"/>
      <c r="H238" s="8"/>
      <c r="I238" s="8"/>
      <c r="J238" s="8"/>
      <c r="K238" s="8"/>
      <c r="L238" s="8"/>
      <c r="M238" s="9"/>
    </row>
    <row r="239" spans="1:13">
      <c r="A239" s="42">
        <v>9</v>
      </c>
      <c r="B239" s="7"/>
      <c r="C239" s="8"/>
      <c r="D239" s="8"/>
      <c r="E239" s="8"/>
      <c r="F239" s="8"/>
      <c r="G239" s="8"/>
      <c r="H239" s="8"/>
      <c r="I239" s="8"/>
      <c r="J239" s="8"/>
      <c r="K239" s="8"/>
      <c r="L239" s="8"/>
      <c r="M239" s="9"/>
    </row>
    <row r="240" spans="1:13">
      <c r="A240" s="42">
        <v>10</v>
      </c>
      <c r="B240" s="7"/>
      <c r="C240" s="8"/>
      <c r="D240" s="8"/>
      <c r="E240" s="8"/>
      <c r="F240" s="8"/>
      <c r="G240" s="8"/>
      <c r="H240" s="8"/>
      <c r="I240" s="8"/>
      <c r="J240" s="8"/>
      <c r="K240" s="8"/>
      <c r="L240" s="8"/>
      <c r="M240" s="9"/>
    </row>
    <row r="241" spans="1:13">
      <c r="A241" s="42">
        <v>11</v>
      </c>
      <c r="B241" s="7"/>
      <c r="C241" s="8"/>
      <c r="D241" s="8"/>
      <c r="E241" s="8"/>
      <c r="F241" s="8"/>
      <c r="G241" s="8"/>
      <c r="H241" s="8"/>
      <c r="I241" s="8"/>
      <c r="J241" s="8"/>
      <c r="K241" s="8"/>
      <c r="L241" s="8"/>
      <c r="M241" s="9"/>
    </row>
    <row r="242" spans="1:13">
      <c r="A242" s="42">
        <v>12</v>
      </c>
      <c r="B242" s="7"/>
      <c r="C242" s="8"/>
      <c r="D242" s="8"/>
      <c r="E242" s="8"/>
      <c r="F242" s="8"/>
      <c r="G242" s="8"/>
      <c r="H242" s="8"/>
      <c r="I242" s="8"/>
      <c r="J242" s="8"/>
      <c r="K242" s="8"/>
      <c r="L242" s="8"/>
      <c r="M242" s="9"/>
    </row>
    <row r="243" spans="1:13">
      <c r="A243" s="42">
        <v>13</v>
      </c>
      <c r="B243" s="7"/>
      <c r="C243" s="8"/>
      <c r="D243" s="8"/>
      <c r="E243" s="8"/>
      <c r="F243" s="8"/>
      <c r="G243" s="8"/>
      <c r="H243" s="8"/>
      <c r="I243" s="8"/>
      <c r="J243" s="8"/>
      <c r="K243" s="8"/>
      <c r="L243" s="8"/>
      <c r="M243" s="9"/>
    </row>
    <row r="244" spans="1:13">
      <c r="A244" s="42">
        <v>14</v>
      </c>
      <c r="B244" s="7"/>
      <c r="C244" s="8"/>
      <c r="D244" s="8"/>
      <c r="E244" s="8"/>
      <c r="F244" s="8"/>
      <c r="G244" s="8"/>
      <c r="H244" s="8"/>
      <c r="I244" s="8"/>
      <c r="J244" s="8"/>
      <c r="K244" s="8"/>
      <c r="L244" s="8"/>
      <c r="M244" s="9"/>
    </row>
    <row r="245" spans="1:13">
      <c r="A245" s="42">
        <v>15</v>
      </c>
      <c r="B245" s="7"/>
      <c r="C245" s="8"/>
      <c r="D245" s="8"/>
      <c r="E245" s="8"/>
      <c r="F245" s="8"/>
      <c r="G245" s="8"/>
      <c r="H245" s="8"/>
      <c r="I245" s="8"/>
      <c r="J245" s="8"/>
      <c r="K245" s="8"/>
      <c r="L245" s="8"/>
      <c r="M245" s="9"/>
    </row>
    <row r="246" spans="1:13">
      <c r="A246" s="42">
        <v>16</v>
      </c>
      <c r="B246" s="7"/>
      <c r="C246" s="8"/>
      <c r="D246" s="8"/>
      <c r="E246" s="8"/>
      <c r="F246" s="8"/>
      <c r="G246" s="8"/>
      <c r="H246" s="8"/>
      <c r="I246" s="8"/>
      <c r="J246" s="8"/>
      <c r="K246" s="8"/>
      <c r="L246" s="8"/>
      <c r="M246" s="9"/>
    </row>
    <row r="247" spans="1:13">
      <c r="A247" s="42">
        <v>17</v>
      </c>
      <c r="B247" s="7"/>
      <c r="C247" s="8"/>
      <c r="D247" s="8"/>
      <c r="E247" s="8"/>
      <c r="F247" s="8"/>
      <c r="G247" s="8"/>
      <c r="H247" s="8"/>
      <c r="I247" s="8"/>
      <c r="J247" s="8"/>
      <c r="K247" s="8"/>
      <c r="L247" s="8"/>
      <c r="M247" s="9"/>
    </row>
    <row r="248" spans="1:13">
      <c r="A248" s="42">
        <v>18</v>
      </c>
      <c r="B248" s="7"/>
      <c r="C248" s="8"/>
      <c r="D248" s="8"/>
      <c r="E248" s="8"/>
      <c r="F248" s="8"/>
      <c r="G248" s="8"/>
      <c r="H248" s="8"/>
      <c r="I248" s="8"/>
      <c r="J248" s="8"/>
      <c r="K248" s="8"/>
      <c r="L248" s="8"/>
      <c r="M248" s="9"/>
    </row>
    <row r="249" spans="1:13">
      <c r="A249" s="42">
        <v>19</v>
      </c>
      <c r="B249" s="7"/>
      <c r="C249" s="8"/>
      <c r="D249" s="8"/>
      <c r="E249" s="8"/>
      <c r="F249" s="8"/>
      <c r="G249" s="8"/>
      <c r="H249" s="8"/>
      <c r="I249" s="8"/>
      <c r="J249" s="8"/>
      <c r="K249" s="8"/>
      <c r="L249" s="8"/>
      <c r="M249" s="9"/>
    </row>
    <row r="250" spans="1:13">
      <c r="A250" s="42">
        <v>20</v>
      </c>
      <c r="B250" s="7"/>
      <c r="C250" s="8"/>
      <c r="D250" s="8"/>
      <c r="E250" s="8"/>
      <c r="F250" s="8"/>
      <c r="G250" s="8"/>
      <c r="H250" s="8"/>
      <c r="I250" s="8"/>
      <c r="J250" s="8"/>
      <c r="K250" s="8"/>
      <c r="L250" s="8"/>
      <c r="M250" s="9"/>
    </row>
    <row r="251" spans="1:13">
      <c r="A251" s="42">
        <v>21</v>
      </c>
      <c r="B251" s="7"/>
      <c r="C251" s="8"/>
      <c r="D251" s="8"/>
      <c r="E251" s="8"/>
      <c r="F251" s="8"/>
      <c r="G251" s="8"/>
      <c r="H251" s="8"/>
      <c r="I251" s="8"/>
      <c r="J251" s="8"/>
      <c r="K251" s="8"/>
      <c r="L251" s="8"/>
      <c r="M251" s="9"/>
    </row>
    <row r="252" spans="1:13">
      <c r="A252" s="42">
        <v>22</v>
      </c>
      <c r="B252" s="7"/>
      <c r="C252" s="8"/>
      <c r="D252" s="8"/>
      <c r="E252" s="8"/>
      <c r="F252" s="8"/>
      <c r="G252" s="8"/>
      <c r="H252" s="8"/>
      <c r="I252" s="8"/>
      <c r="J252" s="8"/>
      <c r="K252" s="8"/>
      <c r="L252" s="8"/>
      <c r="M252" s="9"/>
    </row>
    <row r="253" spans="1:13">
      <c r="A253" s="42">
        <v>23</v>
      </c>
      <c r="B253" s="7"/>
      <c r="C253" s="8"/>
      <c r="D253" s="8"/>
      <c r="E253" s="8"/>
      <c r="F253" s="8"/>
      <c r="G253" s="8"/>
      <c r="H253" s="8"/>
      <c r="I253" s="8"/>
      <c r="J253" s="8"/>
      <c r="K253" s="8"/>
      <c r="L253" s="8"/>
      <c r="M253" s="9"/>
    </row>
    <row r="254" spans="1:13">
      <c r="A254" s="42">
        <v>24</v>
      </c>
      <c r="B254" s="7"/>
      <c r="C254" s="8"/>
      <c r="D254" s="8"/>
      <c r="E254" s="8"/>
      <c r="F254" s="8"/>
      <c r="G254" s="8"/>
      <c r="H254" s="8"/>
      <c r="I254" s="8"/>
      <c r="J254" s="8"/>
      <c r="K254" s="8"/>
      <c r="L254" s="8"/>
      <c r="M254" s="9"/>
    </row>
    <row r="255" spans="1:13">
      <c r="A255" s="42">
        <v>25</v>
      </c>
      <c r="B255" s="7"/>
      <c r="C255" s="8"/>
      <c r="D255" s="8"/>
      <c r="E255" s="8"/>
      <c r="F255" s="8"/>
      <c r="G255" s="8"/>
      <c r="H255" s="8"/>
      <c r="I255" s="8"/>
      <c r="J255" s="8"/>
      <c r="K255" s="8"/>
      <c r="L255" s="8"/>
      <c r="M255" s="9"/>
    </row>
    <row r="256" spans="1:13">
      <c r="A256" s="42">
        <v>26</v>
      </c>
      <c r="B256" s="7"/>
      <c r="C256" s="8"/>
      <c r="D256" s="8"/>
      <c r="E256" s="8"/>
      <c r="F256" s="8"/>
      <c r="G256" s="8"/>
      <c r="H256" s="8"/>
      <c r="I256" s="8"/>
      <c r="J256" s="8"/>
      <c r="K256" s="8"/>
      <c r="L256" s="8"/>
      <c r="M256" s="9"/>
    </row>
    <row r="257" spans="1:13">
      <c r="A257" s="42">
        <v>27</v>
      </c>
      <c r="B257" s="7"/>
      <c r="C257" s="8"/>
      <c r="D257" s="8"/>
      <c r="E257" s="8"/>
      <c r="F257" s="8"/>
      <c r="G257" s="8"/>
      <c r="H257" s="8"/>
      <c r="I257" s="8"/>
      <c r="J257" s="8"/>
      <c r="K257" s="8"/>
      <c r="L257" s="8"/>
      <c r="M257" s="9"/>
    </row>
    <row r="258" spans="1:13">
      <c r="A258" s="42">
        <v>28</v>
      </c>
      <c r="B258" s="7"/>
      <c r="C258" s="8"/>
      <c r="D258" s="8"/>
      <c r="E258" s="8"/>
      <c r="F258" s="8"/>
      <c r="G258" s="8"/>
      <c r="H258" s="8"/>
      <c r="I258" s="8"/>
      <c r="J258" s="8"/>
      <c r="K258" s="8"/>
      <c r="L258" s="8"/>
      <c r="M258" s="9"/>
    </row>
    <row r="259" spans="1:13">
      <c r="A259" s="42">
        <v>29</v>
      </c>
      <c r="B259" s="7"/>
      <c r="C259" s="8"/>
      <c r="D259" s="8"/>
      <c r="E259" s="8"/>
      <c r="F259" s="8"/>
      <c r="G259" s="8"/>
      <c r="H259" s="8"/>
      <c r="I259" s="8"/>
      <c r="J259" s="8"/>
      <c r="K259" s="8"/>
      <c r="L259" s="8"/>
      <c r="M259" s="9"/>
    </row>
    <row r="260" spans="1:13">
      <c r="A260" s="42">
        <v>30</v>
      </c>
      <c r="B260" s="7"/>
      <c r="C260" s="8"/>
      <c r="D260" s="8"/>
      <c r="E260" s="8"/>
      <c r="F260" s="8"/>
      <c r="G260" s="8"/>
      <c r="H260" s="8"/>
      <c r="I260" s="8"/>
      <c r="J260" s="8"/>
      <c r="K260" s="8"/>
      <c r="L260" s="8"/>
      <c r="M260" s="9"/>
    </row>
    <row r="261" spans="1:13">
      <c r="A261" s="43">
        <v>31</v>
      </c>
      <c r="B261" s="10"/>
      <c r="C261" s="11"/>
      <c r="D261" s="11"/>
      <c r="E261" s="11"/>
      <c r="F261" s="11"/>
      <c r="G261" s="11"/>
      <c r="H261" s="11"/>
      <c r="I261" s="11"/>
      <c r="J261" s="11"/>
      <c r="K261" s="11"/>
      <c r="L261" s="11"/>
      <c r="M261" s="12"/>
    </row>
    <row r="263" spans="1:13" ht="15.75">
      <c r="A263" s="72" t="s">
        <v>29</v>
      </c>
      <c r="B263" s="72"/>
      <c r="C263" s="72"/>
      <c r="D263" s="72"/>
      <c r="E263" s="72"/>
      <c r="F263" s="72"/>
      <c r="G263" s="72"/>
      <c r="H263" s="72"/>
      <c r="I263" s="72"/>
      <c r="J263" s="72"/>
      <c r="K263" s="72"/>
      <c r="L263" s="72"/>
      <c r="M263" s="72"/>
    </row>
    <row r="264" spans="1:13">
      <c r="B264" s="57" t="s">
        <v>17</v>
      </c>
      <c r="C264" s="58" t="s">
        <v>18</v>
      </c>
      <c r="D264" s="58" t="s">
        <v>19</v>
      </c>
      <c r="E264" s="58" t="s">
        <v>20</v>
      </c>
      <c r="F264" s="58" t="s">
        <v>21</v>
      </c>
      <c r="G264" s="58" t="s">
        <v>22</v>
      </c>
      <c r="H264" s="58" t="s">
        <v>23</v>
      </c>
      <c r="I264" s="58" t="s">
        <v>24</v>
      </c>
      <c r="J264" s="58" t="s">
        <v>25</v>
      </c>
      <c r="K264" s="58" t="s">
        <v>26</v>
      </c>
      <c r="L264" s="58" t="s">
        <v>27</v>
      </c>
      <c r="M264" s="59" t="s">
        <v>28</v>
      </c>
    </row>
    <row r="265" spans="1:13">
      <c r="A265" s="41" t="s">
        <v>3</v>
      </c>
      <c r="B265" s="4">
        <f>COUNTIF($B$230:$B$261,"Anchor")</f>
        <v>0</v>
      </c>
      <c r="C265" s="5">
        <f>COUNTIF($C$230:$C$261,"Anchor")</f>
        <v>0</v>
      </c>
      <c r="D265" s="5">
        <f>COUNTIF($D$230:$D$261,"Anchor")</f>
        <v>0</v>
      </c>
      <c r="E265" s="5">
        <f>COUNTIF($E$230:$E$261,"Anchor")</f>
        <v>0</v>
      </c>
      <c r="F265" s="5">
        <f>COUNTIF($F$230:$F$261,"Anchor")</f>
        <v>0</v>
      </c>
      <c r="G265" s="5">
        <f>COUNTIF($G$230:$G$261,"Anchor")</f>
        <v>0</v>
      </c>
      <c r="H265" s="5">
        <f>COUNTIF($H$230:$H$261,"Anchor")</f>
        <v>0</v>
      </c>
      <c r="I265" s="5">
        <f>COUNTIF($I$230:$I$261,"Anchor")</f>
        <v>0</v>
      </c>
      <c r="J265" s="5">
        <f>COUNTIF($J$230:$J$261,"Anchor")</f>
        <v>0</v>
      </c>
      <c r="K265" s="5">
        <f>COUNTIF($K$230:$K$261,"Anchor")</f>
        <v>0</v>
      </c>
      <c r="L265" s="5">
        <f>COUNTIF($L$230:$L$261,"Anchor")</f>
        <v>0</v>
      </c>
      <c r="M265" s="6">
        <f>COUNTIF($M$230:$M$261,"Anchor")</f>
        <v>0</v>
      </c>
    </row>
    <row r="266" spans="1:13">
      <c r="A266" s="42" t="s">
        <v>1</v>
      </c>
      <c r="B266" s="7">
        <f>COUNTIF($B$230:$B$261,"At Sea")</f>
        <v>0</v>
      </c>
      <c r="C266" s="8">
        <f>COUNTIF($C$230:$C$261,"At Sea")</f>
        <v>0</v>
      </c>
      <c r="D266" s="8">
        <f>COUNTIF($D$230:$D$261,"At Sea")</f>
        <v>0</v>
      </c>
      <c r="E266" s="8">
        <f>COUNTIF($E$230:$E$261,"At Sea")</f>
        <v>0</v>
      </c>
      <c r="F266" s="8">
        <f>COUNTIF($F$230:$F$261,"At Sea")</f>
        <v>0</v>
      </c>
      <c r="G266" s="8">
        <f>COUNTIF($G$230:$G$261,"At Sea")</f>
        <v>0</v>
      </c>
      <c r="H266" s="8">
        <f>COUNTIF($H$230:$H$261,"At Sea")</f>
        <v>0</v>
      </c>
      <c r="I266" s="8">
        <f>COUNTIF($I$230:$I$261,"At Sea")</f>
        <v>0</v>
      </c>
      <c r="J266" s="8">
        <f>COUNTIF($J$230:$J$261,"At Sea")</f>
        <v>0</v>
      </c>
      <c r="K266" s="8">
        <f>COUNTIF($K$230:$K$261,"At Sea")</f>
        <v>0</v>
      </c>
      <c r="L266" s="8">
        <f>COUNTIF($L$230:$L$261,"At Sea")</f>
        <v>0</v>
      </c>
      <c r="M266" s="9">
        <f>COUNTIF($M$230:$M$261,"At Sea")</f>
        <v>0</v>
      </c>
    </row>
    <row r="267" spans="1:13">
      <c r="A267" s="42" t="s">
        <v>2</v>
      </c>
      <c r="B267" s="7">
        <f>COUNTIF($B$230:$B$261,"On Dock")</f>
        <v>0</v>
      </c>
      <c r="C267" s="8">
        <f>COUNTIF($C$230:$C$261,"On Dock")</f>
        <v>0</v>
      </c>
      <c r="D267" s="8">
        <f>COUNTIF($D$230:$D$261,"On Dock")</f>
        <v>0</v>
      </c>
      <c r="E267" s="8">
        <f>COUNTIF($E$230:$E$261,"On Dock")</f>
        <v>0</v>
      </c>
      <c r="F267" s="8">
        <f>COUNTIF($F$230:$F$261,"On Dock")</f>
        <v>0</v>
      </c>
      <c r="G267" s="8">
        <f>COUNTIF($G$230:$G$261,"On Dock")</f>
        <v>0</v>
      </c>
      <c r="H267" s="8">
        <f>COUNTIF($H$230:$H$261,"On Dock")</f>
        <v>0</v>
      </c>
      <c r="I267" s="8">
        <f>COUNTIF($I$230:$I$261,"On Dock")</f>
        <v>0</v>
      </c>
      <c r="J267" s="8">
        <f>COUNTIF($J$230:$J$261,"On Dock")</f>
        <v>0</v>
      </c>
      <c r="K267" s="8">
        <f>COUNTIF($K$230:$K$261,"On Dock")</f>
        <v>0</v>
      </c>
      <c r="L267" s="8">
        <f>COUNTIF($L$230:$L$261,"On Dock")</f>
        <v>0</v>
      </c>
      <c r="M267" s="9">
        <f>COUNTIF($M$230:$M$261,"On Dock")</f>
        <v>0</v>
      </c>
    </row>
    <row r="268" spans="1:13">
      <c r="A268" s="42" t="s">
        <v>51</v>
      </c>
      <c r="B268" s="7">
        <f>COUNTIF($B$230:$B$261,"Standby")</f>
        <v>0</v>
      </c>
      <c r="C268" s="8">
        <f>COUNTIF($C$230:$C$261,"Standby")</f>
        <v>0</v>
      </c>
      <c r="D268" s="8">
        <f>COUNTIF($D$230:$D$261,"Standby")</f>
        <v>0</v>
      </c>
      <c r="E268" s="8">
        <f>COUNTIF($E$230:$E$261,"Standby")</f>
        <v>0</v>
      </c>
      <c r="F268" s="8">
        <f>COUNTIF($F$230:$F$261,"Standby")</f>
        <v>0</v>
      </c>
      <c r="G268" s="8">
        <f>COUNTIF($G$230:$G$261,"Standby")</f>
        <v>0</v>
      </c>
      <c r="H268" s="8">
        <f>COUNTIF($H$230:$H$261,"Standby")</f>
        <v>0</v>
      </c>
      <c r="I268" s="8">
        <f>COUNTIF($I$230:$I$261,"Standby")</f>
        <v>0</v>
      </c>
      <c r="J268" s="8">
        <f>COUNTIF($J$230:$J$261,"Standby")</f>
        <v>0</v>
      </c>
      <c r="K268" s="8">
        <f>COUNTIF($K$230:$K$261,"Standby")</f>
        <v>0</v>
      </c>
      <c r="L268" s="8">
        <f>COUNTIF($L$230:$L$261,"Standby")</f>
        <v>0</v>
      </c>
      <c r="M268" s="9">
        <f>COUNTIF($M$230:$M$261,"Standby")</f>
        <v>0</v>
      </c>
    </row>
    <row r="269" spans="1:13">
      <c r="A269" s="42" t="s">
        <v>4</v>
      </c>
      <c r="B269" s="7">
        <f>COUNTIF($B$230:$B$261,"Yard")</f>
        <v>0</v>
      </c>
      <c r="C269" s="8">
        <f>COUNTIF($C$230:$C$261,"Yard")</f>
        <v>0</v>
      </c>
      <c r="D269" s="8">
        <f>COUNTIF($D$230:$D$261,"Yard")</f>
        <v>0</v>
      </c>
      <c r="E269" s="8">
        <f>COUNTIF($E$230:$E$261,"Yard")</f>
        <v>0</v>
      </c>
      <c r="F269" s="8">
        <f>COUNTIF($F$230:$F$261,"Yard")</f>
        <v>0</v>
      </c>
      <c r="G269" s="8">
        <f>COUNTIF($G$230:$G$261,"Yard")</f>
        <v>0</v>
      </c>
      <c r="H269" s="8">
        <f>COUNTIF($H$230:$H$261,"Yard")</f>
        <v>0</v>
      </c>
      <c r="I269" s="8">
        <f>COUNTIF($I$230:$I$261,"Yard")</f>
        <v>0</v>
      </c>
      <c r="J269" s="8">
        <f>COUNTIF($J$230:$J$261,"Yard")</f>
        <v>0</v>
      </c>
      <c r="K269" s="8">
        <f>COUNTIF($K$230:$K$261,"Yard")</f>
        <v>0</v>
      </c>
      <c r="L269" s="8">
        <f>COUNTIF($L$230:$L$261,"Yard")</f>
        <v>0</v>
      </c>
      <c r="M269" s="9">
        <f>COUNTIF($M$230:$M$261,"Yard")</f>
        <v>0</v>
      </c>
    </row>
    <row r="270" spans="1:13">
      <c r="A270" s="42" t="s">
        <v>5</v>
      </c>
      <c r="B270" s="7">
        <f>COUNTIF($B$230:$B$261,"Holiday")</f>
        <v>0</v>
      </c>
      <c r="C270" s="8">
        <f>COUNTIF($C$230:$C$261,"Holiday")</f>
        <v>0</v>
      </c>
      <c r="D270" s="8">
        <f>COUNTIF($D$230:$D$261,"Holiday")</f>
        <v>0</v>
      </c>
      <c r="E270" s="8">
        <f>COUNTIF($E$230:$E$261,"Holiday")</f>
        <v>0</v>
      </c>
      <c r="F270" s="8">
        <f>COUNTIF($F$230:$F$261,"Holiday")</f>
        <v>0</v>
      </c>
      <c r="G270" s="8">
        <f>COUNTIF($G$230:$G$261,"Holiday")</f>
        <v>0</v>
      </c>
      <c r="H270" s="8">
        <f>COUNTIF($H$230:$H$261,"Holiday")</f>
        <v>0</v>
      </c>
      <c r="I270" s="8">
        <f>COUNTIF($I$230:$I$261,"Holiday")</f>
        <v>0</v>
      </c>
      <c r="J270" s="8">
        <f>COUNTIF($J$230:$J$261,"Holiday")</f>
        <v>0</v>
      </c>
      <c r="K270" s="8">
        <f>COUNTIF($K$230:$K$261,"Holiday")</f>
        <v>0</v>
      </c>
      <c r="L270" s="8">
        <f>COUNTIF($L$230:$L$261,"Holiday")</f>
        <v>0</v>
      </c>
      <c r="M270" s="9">
        <f>COUNTIF($M$230:$M$261,"Holiday")</f>
        <v>0</v>
      </c>
    </row>
    <row r="271" spans="1:13">
      <c r="A271" s="42" t="s">
        <v>6</v>
      </c>
      <c r="B271" s="7">
        <f>COUNTIF($B$230:$B$261,"Sick")</f>
        <v>0</v>
      </c>
      <c r="C271" s="8">
        <f>COUNTIF($C$230:$C$261,"Sick")</f>
        <v>0</v>
      </c>
      <c r="D271" s="8">
        <f>COUNTIF($D$230:$D$261,"Sick")</f>
        <v>0</v>
      </c>
      <c r="E271" s="8">
        <f>COUNTIF($E$230:$E$261,"Sick")</f>
        <v>0</v>
      </c>
      <c r="F271" s="8">
        <f>COUNTIF($F$230:$F$261,"Sick")</f>
        <v>0</v>
      </c>
      <c r="G271" s="8">
        <f>COUNTIF($G$230:$G$261,"Sick")</f>
        <v>0</v>
      </c>
      <c r="H271" s="8">
        <f>COUNTIF($H$230:$H$261,"Sick")</f>
        <v>0</v>
      </c>
      <c r="I271" s="8">
        <f>COUNTIF($I$230:$I$261,"Sick")</f>
        <v>0</v>
      </c>
      <c r="J271" s="8">
        <f>COUNTIF($J$230:$J$261,"Sick")</f>
        <v>0</v>
      </c>
      <c r="K271" s="8">
        <f>COUNTIF($K$230:$K$261,"Sick")</f>
        <v>0</v>
      </c>
      <c r="L271" s="8">
        <f>COUNTIF($L$230:$L$261,"Sick")</f>
        <v>0</v>
      </c>
      <c r="M271" s="9">
        <f>COUNTIF($M$230:$M$261,"Sick")</f>
        <v>0</v>
      </c>
    </row>
    <row r="272" spans="1:13">
      <c r="A272" s="43" t="s">
        <v>7</v>
      </c>
      <c r="B272" s="10">
        <f>COUNTIF($B$230:$B$261,"Study")</f>
        <v>0</v>
      </c>
      <c r="C272" s="11">
        <f>COUNTIF($C$230:$C$261,"Study")</f>
        <v>0</v>
      </c>
      <c r="D272" s="11">
        <f>COUNTIF($D$230:$D$261,"Study")</f>
        <v>0</v>
      </c>
      <c r="E272" s="11">
        <f>COUNTIF($E$230:$E$261,"Study")</f>
        <v>0</v>
      </c>
      <c r="F272" s="11">
        <f>COUNTIF($F$230:$F$261,"Study")</f>
        <v>0</v>
      </c>
      <c r="G272" s="11">
        <f>COUNTIF($G$230:$G$261,"Study")</f>
        <v>0</v>
      </c>
      <c r="H272" s="11">
        <f>COUNTIF($H$230:$H$261,"Study")</f>
        <v>0</v>
      </c>
      <c r="I272" s="11">
        <f>COUNTIF($I$230:$I$261,"Study")</f>
        <v>0</v>
      </c>
      <c r="J272" s="11">
        <f>COUNTIF($J$230:$J$261,"Study")</f>
        <v>0</v>
      </c>
      <c r="K272" s="11">
        <f>COUNTIF($K$230:$K$261,"Study")</f>
        <v>0</v>
      </c>
      <c r="L272" s="11">
        <f>COUNTIF($L$230:$L$261,"Study")</f>
        <v>0</v>
      </c>
      <c r="M272" s="12">
        <f>COUNTIF($M$230:$M$261,"Study")</f>
        <v>0</v>
      </c>
    </row>
    <row r="273" spans="1:13" ht="15.75" thickBot="1"/>
    <row r="274" spans="1:13" ht="18.75" thickBot="1">
      <c r="A274" s="69" t="s">
        <v>49</v>
      </c>
      <c r="B274" s="70"/>
      <c r="C274" s="70"/>
      <c r="D274" s="70"/>
      <c r="E274" s="70"/>
      <c r="F274" s="70"/>
      <c r="G274" s="70"/>
      <c r="H274" s="70"/>
      <c r="I274" s="70"/>
      <c r="J274" s="70"/>
      <c r="K274" s="70"/>
      <c r="L274" s="70"/>
      <c r="M274" s="71"/>
    </row>
    <row r="276" spans="1:13">
      <c r="B276" s="57" t="s">
        <v>17</v>
      </c>
      <c r="C276" s="58" t="s">
        <v>18</v>
      </c>
      <c r="D276" s="58" t="s">
        <v>19</v>
      </c>
      <c r="E276" s="58" t="s">
        <v>20</v>
      </c>
      <c r="F276" s="58" t="s">
        <v>21</v>
      </c>
      <c r="G276" s="58" t="s">
        <v>22</v>
      </c>
      <c r="H276" s="58" t="s">
        <v>23</v>
      </c>
      <c r="I276" s="58" t="s">
        <v>24</v>
      </c>
      <c r="J276" s="58" t="s">
        <v>25</v>
      </c>
      <c r="K276" s="58" t="s">
        <v>26</v>
      </c>
      <c r="L276" s="58" t="s">
        <v>27</v>
      </c>
      <c r="M276" s="59" t="s">
        <v>28</v>
      </c>
    </row>
    <row r="277" spans="1:13">
      <c r="A277" s="41">
        <v>1</v>
      </c>
      <c r="B277" s="4"/>
      <c r="C277" s="5"/>
      <c r="D277" s="5"/>
      <c r="E277" s="5"/>
      <c r="F277" s="5"/>
      <c r="G277" s="5"/>
      <c r="H277" s="5"/>
      <c r="I277" s="5"/>
      <c r="J277" s="5"/>
      <c r="K277" s="5"/>
      <c r="L277" s="5"/>
      <c r="M277" s="6"/>
    </row>
    <row r="278" spans="1:13">
      <c r="A278" s="42">
        <v>2</v>
      </c>
      <c r="B278" s="7"/>
      <c r="C278" s="8"/>
      <c r="D278" s="8"/>
      <c r="E278" s="8"/>
      <c r="F278" s="8"/>
      <c r="G278" s="8"/>
      <c r="H278" s="8"/>
      <c r="I278" s="8"/>
      <c r="J278" s="8"/>
      <c r="K278" s="8"/>
      <c r="L278" s="8"/>
      <c r="M278" s="9"/>
    </row>
    <row r="279" spans="1:13">
      <c r="A279" s="42">
        <v>3</v>
      </c>
      <c r="B279" s="7"/>
      <c r="C279" s="8"/>
      <c r="D279" s="8"/>
      <c r="E279" s="8"/>
      <c r="F279" s="8"/>
      <c r="G279" s="8"/>
      <c r="H279" s="8"/>
      <c r="I279" s="8"/>
      <c r="J279" s="8"/>
      <c r="K279" s="8"/>
      <c r="L279" s="8"/>
      <c r="M279" s="9"/>
    </row>
    <row r="280" spans="1:13">
      <c r="A280" s="42">
        <v>4</v>
      </c>
      <c r="B280" s="7"/>
      <c r="C280" s="8"/>
      <c r="D280" s="8"/>
      <c r="E280" s="8"/>
      <c r="F280" s="8"/>
      <c r="G280" s="8"/>
      <c r="H280" s="8"/>
      <c r="I280" s="8"/>
      <c r="J280" s="8"/>
      <c r="K280" s="8"/>
      <c r="L280" s="8"/>
      <c r="M280" s="9"/>
    </row>
    <row r="281" spans="1:13">
      <c r="A281" s="42">
        <v>5</v>
      </c>
      <c r="B281" s="7"/>
      <c r="C281" s="8"/>
      <c r="D281" s="8"/>
      <c r="E281" s="8"/>
      <c r="F281" s="8"/>
      <c r="G281" s="8"/>
      <c r="H281" s="8"/>
      <c r="I281" s="8"/>
      <c r="J281" s="8"/>
      <c r="K281" s="8"/>
      <c r="L281" s="8"/>
      <c r="M281" s="9"/>
    </row>
    <row r="282" spans="1:13">
      <c r="A282" s="42">
        <v>6</v>
      </c>
      <c r="B282" s="7"/>
      <c r="C282" s="8"/>
      <c r="D282" s="8"/>
      <c r="E282" s="8"/>
      <c r="F282" s="8"/>
      <c r="G282" s="8"/>
      <c r="H282" s="8"/>
      <c r="I282" s="8"/>
      <c r="J282" s="8"/>
      <c r="K282" s="8"/>
      <c r="L282" s="8"/>
      <c r="M282" s="9"/>
    </row>
    <row r="283" spans="1:13">
      <c r="A283" s="42">
        <v>7</v>
      </c>
      <c r="B283" s="7"/>
      <c r="C283" s="8"/>
      <c r="D283" s="8"/>
      <c r="E283" s="8"/>
      <c r="F283" s="8"/>
      <c r="G283" s="8"/>
      <c r="H283" s="8"/>
      <c r="I283" s="8"/>
      <c r="J283" s="8"/>
      <c r="K283" s="8"/>
      <c r="L283" s="8"/>
      <c r="M283" s="9"/>
    </row>
    <row r="284" spans="1:13">
      <c r="A284" s="42">
        <v>8</v>
      </c>
      <c r="B284" s="7"/>
      <c r="C284" s="8"/>
      <c r="D284" s="8"/>
      <c r="E284" s="8"/>
      <c r="F284" s="8"/>
      <c r="G284" s="8"/>
      <c r="H284" s="8"/>
      <c r="I284" s="8"/>
      <c r="J284" s="8"/>
      <c r="K284" s="8"/>
      <c r="L284" s="8"/>
      <c r="M284" s="9"/>
    </row>
    <row r="285" spans="1:13">
      <c r="A285" s="42">
        <v>9</v>
      </c>
      <c r="B285" s="7"/>
      <c r="C285" s="8"/>
      <c r="D285" s="8"/>
      <c r="E285" s="8"/>
      <c r="F285" s="8"/>
      <c r="G285" s="8"/>
      <c r="H285" s="8"/>
      <c r="I285" s="8"/>
      <c r="J285" s="8"/>
      <c r="K285" s="8"/>
      <c r="L285" s="8"/>
      <c r="M285" s="9"/>
    </row>
    <row r="286" spans="1:13">
      <c r="A286" s="42">
        <v>10</v>
      </c>
      <c r="B286" s="7"/>
      <c r="C286" s="8"/>
      <c r="D286" s="8"/>
      <c r="E286" s="8"/>
      <c r="F286" s="8"/>
      <c r="G286" s="8"/>
      <c r="H286" s="8"/>
      <c r="I286" s="8"/>
      <c r="J286" s="8"/>
      <c r="K286" s="8"/>
      <c r="L286" s="8"/>
      <c r="M286" s="9"/>
    </row>
    <row r="287" spans="1:13">
      <c r="A287" s="42">
        <v>11</v>
      </c>
      <c r="B287" s="7"/>
      <c r="C287" s="8"/>
      <c r="D287" s="8"/>
      <c r="E287" s="8"/>
      <c r="F287" s="8"/>
      <c r="G287" s="8"/>
      <c r="H287" s="8"/>
      <c r="I287" s="8"/>
      <c r="J287" s="8"/>
      <c r="K287" s="8"/>
      <c r="L287" s="8"/>
      <c r="M287" s="9"/>
    </row>
    <row r="288" spans="1:13">
      <c r="A288" s="42">
        <v>12</v>
      </c>
      <c r="B288" s="7"/>
      <c r="C288" s="8"/>
      <c r="D288" s="8"/>
      <c r="E288" s="8"/>
      <c r="F288" s="8"/>
      <c r="G288" s="8"/>
      <c r="H288" s="8"/>
      <c r="I288" s="8"/>
      <c r="J288" s="8"/>
      <c r="K288" s="8"/>
      <c r="L288" s="8"/>
      <c r="M288" s="9"/>
    </row>
    <row r="289" spans="1:13">
      <c r="A289" s="42">
        <v>13</v>
      </c>
      <c r="B289" s="7"/>
      <c r="C289" s="8"/>
      <c r="D289" s="8"/>
      <c r="E289" s="8"/>
      <c r="F289" s="8"/>
      <c r="G289" s="8"/>
      <c r="H289" s="8"/>
      <c r="I289" s="8"/>
      <c r="J289" s="8"/>
      <c r="K289" s="8"/>
      <c r="L289" s="8"/>
      <c r="M289" s="9"/>
    </row>
    <row r="290" spans="1:13">
      <c r="A290" s="42">
        <v>14</v>
      </c>
      <c r="B290" s="7"/>
      <c r="C290" s="8"/>
      <c r="D290" s="8"/>
      <c r="E290" s="8"/>
      <c r="F290" s="8"/>
      <c r="G290" s="8"/>
      <c r="H290" s="8"/>
      <c r="I290" s="8"/>
      <c r="J290" s="8"/>
      <c r="K290" s="8"/>
      <c r="L290" s="8"/>
      <c r="M290" s="9"/>
    </row>
    <row r="291" spans="1:13">
      <c r="A291" s="42">
        <v>15</v>
      </c>
      <c r="B291" s="7"/>
      <c r="C291" s="8"/>
      <c r="D291" s="8"/>
      <c r="E291" s="8"/>
      <c r="F291" s="8"/>
      <c r="G291" s="8"/>
      <c r="H291" s="8"/>
      <c r="I291" s="8"/>
      <c r="J291" s="8"/>
      <c r="K291" s="8"/>
      <c r="L291" s="8"/>
      <c r="M291" s="9"/>
    </row>
    <row r="292" spans="1:13">
      <c r="A292" s="42">
        <v>16</v>
      </c>
      <c r="B292" s="7"/>
      <c r="C292" s="8"/>
      <c r="D292" s="8"/>
      <c r="E292" s="8"/>
      <c r="F292" s="8"/>
      <c r="G292" s="8"/>
      <c r="H292" s="8"/>
      <c r="I292" s="8"/>
      <c r="J292" s="8"/>
      <c r="K292" s="8"/>
      <c r="L292" s="8"/>
      <c r="M292" s="9"/>
    </row>
    <row r="293" spans="1:13">
      <c r="A293" s="42">
        <v>17</v>
      </c>
      <c r="B293" s="7"/>
      <c r="C293" s="8"/>
      <c r="D293" s="8"/>
      <c r="E293" s="8"/>
      <c r="F293" s="8"/>
      <c r="G293" s="8"/>
      <c r="H293" s="8"/>
      <c r="I293" s="8"/>
      <c r="J293" s="8"/>
      <c r="K293" s="8"/>
      <c r="L293" s="8"/>
      <c r="M293" s="9"/>
    </row>
    <row r="294" spans="1:13">
      <c r="A294" s="42">
        <v>18</v>
      </c>
      <c r="B294" s="7"/>
      <c r="C294" s="8"/>
      <c r="D294" s="8"/>
      <c r="E294" s="8"/>
      <c r="F294" s="8"/>
      <c r="G294" s="8"/>
      <c r="H294" s="8"/>
      <c r="I294" s="8"/>
      <c r="J294" s="8"/>
      <c r="K294" s="8"/>
      <c r="L294" s="8"/>
      <c r="M294" s="9"/>
    </row>
    <row r="295" spans="1:13">
      <c r="A295" s="42">
        <v>19</v>
      </c>
      <c r="B295" s="7"/>
      <c r="C295" s="8"/>
      <c r="D295" s="8"/>
      <c r="E295" s="8"/>
      <c r="F295" s="8"/>
      <c r="G295" s="8"/>
      <c r="H295" s="8"/>
      <c r="I295" s="8"/>
      <c r="J295" s="8"/>
      <c r="K295" s="8"/>
      <c r="L295" s="8"/>
      <c r="M295" s="9"/>
    </row>
    <row r="296" spans="1:13">
      <c r="A296" s="42">
        <v>20</v>
      </c>
      <c r="B296" s="7"/>
      <c r="C296" s="8"/>
      <c r="D296" s="8"/>
      <c r="E296" s="8"/>
      <c r="F296" s="8"/>
      <c r="G296" s="8"/>
      <c r="H296" s="8"/>
      <c r="I296" s="8"/>
      <c r="J296" s="8"/>
      <c r="K296" s="8"/>
      <c r="L296" s="8"/>
      <c r="M296" s="9"/>
    </row>
    <row r="297" spans="1:13">
      <c r="A297" s="42">
        <v>21</v>
      </c>
      <c r="B297" s="7"/>
      <c r="C297" s="8"/>
      <c r="D297" s="8"/>
      <c r="E297" s="8"/>
      <c r="F297" s="8"/>
      <c r="G297" s="8"/>
      <c r="H297" s="8"/>
      <c r="I297" s="8"/>
      <c r="J297" s="8"/>
      <c r="K297" s="8"/>
      <c r="L297" s="8"/>
      <c r="M297" s="9"/>
    </row>
    <row r="298" spans="1:13">
      <c r="A298" s="42">
        <v>22</v>
      </c>
      <c r="B298" s="7"/>
      <c r="C298" s="8"/>
      <c r="D298" s="8"/>
      <c r="E298" s="8"/>
      <c r="F298" s="8"/>
      <c r="G298" s="8"/>
      <c r="H298" s="8"/>
      <c r="I298" s="8"/>
      <c r="J298" s="8"/>
      <c r="K298" s="8"/>
      <c r="L298" s="8"/>
      <c r="M298" s="9"/>
    </row>
    <row r="299" spans="1:13">
      <c r="A299" s="42">
        <v>23</v>
      </c>
      <c r="B299" s="7"/>
      <c r="C299" s="8"/>
      <c r="D299" s="8"/>
      <c r="E299" s="8"/>
      <c r="F299" s="8"/>
      <c r="G299" s="8"/>
      <c r="H299" s="8"/>
      <c r="I299" s="8"/>
      <c r="J299" s="8"/>
      <c r="K299" s="8"/>
      <c r="L299" s="8"/>
      <c r="M299" s="9"/>
    </row>
    <row r="300" spans="1:13">
      <c r="A300" s="42">
        <v>24</v>
      </c>
      <c r="B300" s="7"/>
      <c r="C300" s="8"/>
      <c r="D300" s="8"/>
      <c r="E300" s="8"/>
      <c r="F300" s="8"/>
      <c r="G300" s="8"/>
      <c r="H300" s="8"/>
      <c r="I300" s="8"/>
      <c r="J300" s="8"/>
      <c r="K300" s="8"/>
      <c r="L300" s="8"/>
      <c r="M300" s="9"/>
    </row>
    <row r="301" spans="1:13">
      <c r="A301" s="42">
        <v>25</v>
      </c>
      <c r="B301" s="7"/>
      <c r="C301" s="8"/>
      <c r="D301" s="8"/>
      <c r="E301" s="8"/>
      <c r="F301" s="8"/>
      <c r="G301" s="8"/>
      <c r="H301" s="8"/>
      <c r="I301" s="8"/>
      <c r="J301" s="8"/>
      <c r="K301" s="8"/>
      <c r="L301" s="8"/>
      <c r="M301" s="9"/>
    </row>
    <row r="302" spans="1:13">
      <c r="A302" s="42">
        <v>26</v>
      </c>
      <c r="B302" s="7"/>
      <c r="C302" s="8"/>
      <c r="D302" s="8"/>
      <c r="E302" s="8"/>
      <c r="F302" s="8"/>
      <c r="G302" s="8"/>
      <c r="H302" s="8"/>
      <c r="I302" s="8"/>
      <c r="J302" s="8"/>
      <c r="K302" s="8"/>
      <c r="L302" s="8"/>
      <c r="M302" s="9"/>
    </row>
    <row r="303" spans="1:13">
      <c r="A303" s="42">
        <v>27</v>
      </c>
      <c r="B303" s="7"/>
      <c r="C303" s="8"/>
      <c r="D303" s="8"/>
      <c r="E303" s="8"/>
      <c r="F303" s="8"/>
      <c r="G303" s="8"/>
      <c r="H303" s="8"/>
      <c r="I303" s="8"/>
      <c r="J303" s="8"/>
      <c r="K303" s="8"/>
      <c r="L303" s="8"/>
      <c r="M303" s="9"/>
    </row>
    <row r="304" spans="1:13">
      <c r="A304" s="42">
        <v>28</v>
      </c>
      <c r="B304" s="7"/>
      <c r="C304" s="8"/>
      <c r="D304" s="8"/>
      <c r="E304" s="8"/>
      <c r="F304" s="8"/>
      <c r="G304" s="8"/>
      <c r="H304" s="8"/>
      <c r="I304" s="8"/>
      <c r="J304" s="8"/>
      <c r="K304" s="8"/>
      <c r="L304" s="8"/>
      <c r="M304" s="9"/>
    </row>
    <row r="305" spans="1:13">
      <c r="A305" s="42">
        <v>29</v>
      </c>
      <c r="B305" s="7"/>
      <c r="C305" s="8"/>
      <c r="D305" s="8"/>
      <c r="E305" s="8"/>
      <c r="F305" s="8"/>
      <c r="G305" s="8"/>
      <c r="H305" s="8"/>
      <c r="I305" s="8"/>
      <c r="J305" s="8"/>
      <c r="K305" s="8"/>
      <c r="L305" s="8"/>
      <c r="M305" s="9"/>
    </row>
    <row r="306" spans="1:13">
      <c r="A306" s="42">
        <v>30</v>
      </c>
      <c r="B306" s="7"/>
      <c r="C306" s="8"/>
      <c r="D306" s="8"/>
      <c r="E306" s="8"/>
      <c r="F306" s="8"/>
      <c r="G306" s="8"/>
      <c r="H306" s="8"/>
      <c r="I306" s="8"/>
      <c r="J306" s="8"/>
      <c r="K306" s="8"/>
      <c r="L306" s="8"/>
      <c r="M306" s="9"/>
    </row>
    <row r="307" spans="1:13">
      <c r="A307" s="43">
        <v>31</v>
      </c>
      <c r="B307" s="10"/>
      <c r="C307" s="11"/>
      <c r="D307" s="11"/>
      <c r="E307" s="11"/>
      <c r="F307" s="11"/>
      <c r="G307" s="11"/>
      <c r="H307" s="11"/>
      <c r="I307" s="11"/>
      <c r="J307" s="11"/>
      <c r="K307" s="11"/>
      <c r="L307" s="11"/>
      <c r="M307" s="12"/>
    </row>
    <row r="309" spans="1:13" ht="15.75">
      <c r="A309" s="72" t="s">
        <v>29</v>
      </c>
      <c r="B309" s="72"/>
      <c r="C309" s="72"/>
      <c r="D309" s="72"/>
      <c r="E309" s="72"/>
      <c r="F309" s="72"/>
      <c r="G309" s="72"/>
      <c r="H309" s="72"/>
      <c r="I309" s="72"/>
      <c r="J309" s="72"/>
      <c r="K309" s="72"/>
      <c r="L309" s="72"/>
      <c r="M309" s="72"/>
    </row>
    <row r="310" spans="1:13">
      <c r="B310" s="57" t="s">
        <v>17</v>
      </c>
      <c r="C310" s="58" t="s">
        <v>18</v>
      </c>
      <c r="D310" s="58" t="s">
        <v>19</v>
      </c>
      <c r="E310" s="58" t="s">
        <v>20</v>
      </c>
      <c r="F310" s="58" t="s">
        <v>21</v>
      </c>
      <c r="G310" s="58" t="s">
        <v>22</v>
      </c>
      <c r="H310" s="58" t="s">
        <v>23</v>
      </c>
      <c r="I310" s="58" t="s">
        <v>24</v>
      </c>
      <c r="J310" s="58" t="s">
        <v>25</v>
      </c>
      <c r="K310" s="58" t="s">
        <v>26</v>
      </c>
      <c r="L310" s="58" t="s">
        <v>27</v>
      </c>
      <c r="M310" s="59" t="s">
        <v>28</v>
      </c>
    </row>
    <row r="311" spans="1:13">
      <c r="A311" s="41" t="s">
        <v>3</v>
      </c>
      <c r="B311" s="4">
        <f>COUNTIF($B$276:$B$307,"Anchor")</f>
        <v>0</v>
      </c>
      <c r="C311" s="5">
        <f>COUNTIF($C$276:$C$307,"Anchor")</f>
        <v>0</v>
      </c>
      <c r="D311" s="5">
        <f>COUNTIF($D$276:$D$307,"Anchor")</f>
        <v>0</v>
      </c>
      <c r="E311" s="5">
        <f>COUNTIF($E$276:$E$307,"Anchor")</f>
        <v>0</v>
      </c>
      <c r="F311" s="5">
        <f>COUNTIF($F$276:$F$307,"Anchor")</f>
        <v>0</v>
      </c>
      <c r="G311" s="5">
        <f>COUNTIF($G$276:$G$307,"Anchor")</f>
        <v>0</v>
      </c>
      <c r="H311" s="5">
        <f>COUNTIF($H$276:$H$307,"Anchor")</f>
        <v>0</v>
      </c>
      <c r="I311" s="5">
        <f>COUNTIF($I$276:$I$307,"Anchor")</f>
        <v>0</v>
      </c>
      <c r="J311" s="5">
        <f>COUNTIF($J$276:$J$307,"Anchor")</f>
        <v>0</v>
      </c>
      <c r="K311" s="5">
        <f>COUNTIF($K$276:$K$307,"Anchor")</f>
        <v>0</v>
      </c>
      <c r="L311" s="5">
        <f>COUNTIF($L$276:$L$307,"Anchor")</f>
        <v>0</v>
      </c>
      <c r="M311" s="6">
        <f>COUNTIF($M$276:$M$307,"Anchor")</f>
        <v>0</v>
      </c>
    </row>
    <row r="312" spans="1:13">
      <c r="A312" s="42" t="s">
        <v>1</v>
      </c>
      <c r="B312" s="7">
        <f>COUNTIF($B$276:$B$307,"At Sea")</f>
        <v>0</v>
      </c>
      <c r="C312" s="8">
        <f>COUNTIF($C$276:$C$307,"At Sea")</f>
        <v>0</v>
      </c>
      <c r="D312" s="8">
        <f>COUNTIF($D$276:$D$307,"At Sea")</f>
        <v>0</v>
      </c>
      <c r="E312" s="8">
        <f>COUNTIF($E$276:$E$307,"At Sea")</f>
        <v>0</v>
      </c>
      <c r="F312" s="8">
        <f>COUNTIF($F$276:$F$307,"At Sea")</f>
        <v>0</v>
      </c>
      <c r="G312" s="8">
        <f>COUNTIF($G$276:$G$307,"At Sea")</f>
        <v>0</v>
      </c>
      <c r="H312" s="8">
        <f>COUNTIF($H$276:$H$307,"At Sea")</f>
        <v>0</v>
      </c>
      <c r="I312" s="8">
        <f>COUNTIF($I$276:$I$307,"At Sea")</f>
        <v>0</v>
      </c>
      <c r="J312" s="8">
        <f>COUNTIF($J$276:$J$307,"At Sea")</f>
        <v>0</v>
      </c>
      <c r="K312" s="8">
        <f>COUNTIF($K$276:$K$307,"At Sea")</f>
        <v>0</v>
      </c>
      <c r="L312" s="8">
        <f>COUNTIF($L$276:$L$307,"At Sea")</f>
        <v>0</v>
      </c>
      <c r="M312" s="9">
        <f>COUNTIF($M$276:$M$307,"At Sea")</f>
        <v>0</v>
      </c>
    </row>
    <row r="313" spans="1:13">
      <c r="A313" s="42" t="s">
        <v>2</v>
      </c>
      <c r="B313" s="7">
        <f>COUNTIF($B$276:$B$307,"On Dock")</f>
        <v>0</v>
      </c>
      <c r="C313" s="8">
        <f>COUNTIF($C$276:$C$307,"On Dock")</f>
        <v>0</v>
      </c>
      <c r="D313" s="8">
        <f>COUNTIF($D$276:$D$307,"On Dock")</f>
        <v>0</v>
      </c>
      <c r="E313" s="8">
        <f>COUNTIF($E$276:$E$307,"On Dock")</f>
        <v>0</v>
      </c>
      <c r="F313" s="8">
        <f>COUNTIF($F$276:$F$307,"On Dock")</f>
        <v>0</v>
      </c>
      <c r="G313" s="8">
        <f>COUNTIF($G$276:$G$307,"On Dock")</f>
        <v>0</v>
      </c>
      <c r="H313" s="8">
        <f>COUNTIF($H$276:$H$307,"On Dock")</f>
        <v>0</v>
      </c>
      <c r="I313" s="8">
        <f>COUNTIF($I$276:$I$307,"On Dock")</f>
        <v>0</v>
      </c>
      <c r="J313" s="8">
        <f>COUNTIF($J$276:$J$307,"On Dock")</f>
        <v>0</v>
      </c>
      <c r="K313" s="8">
        <f>COUNTIF($K$276:$K$307,"On Dock")</f>
        <v>0</v>
      </c>
      <c r="L313" s="8">
        <f>COUNTIF($L$276:$L$307,"On Dock")</f>
        <v>0</v>
      </c>
      <c r="M313" s="9">
        <f>COUNTIF($M$276:$M$307,"On Dock")</f>
        <v>0</v>
      </c>
    </row>
    <row r="314" spans="1:13">
      <c r="A314" s="42" t="s">
        <v>51</v>
      </c>
      <c r="B314" s="7">
        <f>COUNTIF($B$276:$B$307,"Standby")</f>
        <v>0</v>
      </c>
      <c r="C314" s="8">
        <f>COUNTIF($C$276:$C$307,"Standby")</f>
        <v>0</v>
      </c>
      <c r="D314" s="8">
        <f>COUNTIF($D$276:$D$307,"Standby")</f>
        <v>0</v>
      </c>
      <c r="E314" s="8">
        <f>COUNTIF($E$276:$E$307,"Standby")</f>
        <v>0</v>
      </c>
      <c r="F314" s="8">
        <f>COUNTIF($F$276:$F$307,"Standby")</f>
        <v>0</v>
      </c>
      <c r="G314" s="8">
        <f>COUNTIF($G$276:$G$307,"Standby")</f>
        <v>0</v>
      </c>
      <c r="H314" s="8">
        <f>COUNTIF($H$276:$H$307,"Standby")</f>
        <v>0</v>
      </c>
      <c r="I314" s="8">
        <f>COUNTIF($I$276:$I$307,"Standby")</f>
        <v>0</v>
      </c>
      <c r="J314" s="8">
        <f>COUNTIF($J$276:$J$307,"Standby")</f>
        <v>0</v>
      </c>
      <c r="K314" s="8">
        <f>COUNTIF($K$276:$K$307,"Standby")</f>
        <v>0</v>
      </c>
      <c r="L314" s="8">
        <f>COUNTIF($L$276:$L$307,"Standby")</f>
        <v>0</v>
      </c>
      <c r="M314" s="9">
        <f>COUNTIF($M$276:$M$307,"Standby")</f>
        <v>0</v>
      </c>
    </row>
    <row r="315" spans="1:13">
      <c r="A315" s="42" t="s">
        <v>4</v>
      </c>
      <c r="B315" s="7">
        <f>COUNTIF($B$276:$B$307,"Yard")</f>
        <v>0</v>
      </c>
      <c r="C315" s="8">
        <f>COUNTIF($C$276:$C$307,"Yard")</f>
        <v>0</v>
      </c>
      <c r="D315" s="8">
        <f>COUNTIF($D$276:$D$307,"Yard")</f>
        <v>0</v>
      </c>
      <c r="E315" s="8">
        <f>COUNTIF($E$276:$E$307,"Yard")</f>
        <v>0</v>
      </c>
      <c r="F315" s="8">
        <f>COUNTIF($F$276:$F$307,"Yard")</f>
        <v>0</v>
      </c>
      <c r="G315" s="8">
        <f>COUNTIF($G$276:$G$307,"Yard")</f>
        <v>0</v>
      </c>
      <c r="H315" s="8">
        <f>COUNTIF($H$276:$H$307,"Yard")</f>
        <v>0</v>
      </c>
      <c r="I315" s="8">
        <f>COUNTIF($I$276:$I$307,"Yard")</f>
        <v>0</v>
      </c>
      <c r="J315" s="8">
        <f>COUNTIF($J$276:$J$307,"Yard")</f>
        <v>0</v>
      </c>
      <c r="K315" s="8">
        <f>COUNTIF($K$276:$K$307,"Yard")</f>
        <v>0</v>
      </c>
      <c r="L315" s="8">
        <f>COUNTIF($L$276:$L$307,"Yard")</f>
        <v>0</v>
      </c>
      <c r="M315" s="9">
        <f>COUNTIF($M$276:$M$307,"Yard")</f>
        <v>0</v>
      </c>
    </row>
    <row r="316" spans="1:13">
      <c r="A316" s="42" t="s">
        <v>5</v>
      </c>
      <c r="B316" s="7">
        <f>COUNTIF($B$276:$B$307,"Holiday")</f>
        <v>0</v>
      </c>
      <c r="C316" s="8">
        <f>COUNTIF($C$276:$C$307,"Holiday")</f>
        <v>0</v>
      </c>
      <c r="D316" s="8">
        <f>COUNTIF($D$276:$D$307,"Holiday")</f>
        <v>0</v>
      </c>
      <c r="E316" s="8">
        <f>COUNTIF($E$276:$E$307,"Holiday")</f>
        <v>0</v>
      </c>
      <c r="F316" s="8">
        <f>COUNTIF($F$276:$F$307,"Holiday")</f>
        <v>0</v>
      </c>
      <c r="G316" s="8">
        <f>COUNTIF($G$276:$G$307,"Holiday")</f>
        <v>0</v>
      </c>
      <c r="H316" s="8">
        <f>COUNTIF($H$276:$H$307,"Holiday")</f>
        <v>0</v>
      </c>
      <c r="I316" s="8">
        <f>COUNTIF($I$276:$I$307,"Holiday")</f>
        <v>0</v>
      </c>
      <c r="J316" s="8">
        <f>COUNTIF($J$276:$J$307,"Holiday")</f>
        <v>0</v>
      </c>
      <c r="K316" s="8">
        <f>COUNTIF($K$276:$K$307,"Holiday")</f>
        <v>0</v>
      </c>
      <c r="L316" s="8">
        <f>COUNTIF($L$276:$L$307,"Holiday")</f>
        <v>0</v>
      </c>
      <c r="M316" s="9">
        <f>COUNTIF($M$276:$M$307,"Holiday")</f>
        <v>0</v>
      </c>
    </row>
    <row r="317" spans="1:13">
      <c r="A317" s="42" t="s">
        <v>6</v>
      </c>
      <c r="B317" s="7">
        <f>COUNTIF($B$276:$B$307,"Sick")</f>
        <v>0</v>
      </c>
      <c r="C317" s="8">
        <f>COUNTIF($C$276:$C$307,"Sick")</f>
        <v>0</v>
      </c>
      <c r="D317" s="8">
        <f>COUNTIF($D$276:$D$307,"Sick")</f>
        <v>0</v>
      </c>
      <c r="E317" s="8">
        <f>COUNTIF($E$276:$E$307,"Sick")</f>
        <v>0</v>
      </c>
      <c r="F317" s="8">
        <f>COUNTIF($F$276:$F$307,"Sick")</f>
        <v>0</v>
      </c>
      <c r="G317" s="8">
        <f>COUNTIF($G$276:$G$307,"Sick")</f>
        <v>0</v>
      </c>
      <c r="H317" s="8">
        <f>COUNTIF($H$276:$H$307,"Sick")</f>
        <v>0</v>
      </c>
      <c r="I317" s="8">
        <f>COUNTIF($I$276:$I$307,"Sick")</f>
        <v>0</v>
      </c>
      <c r="J317" s="8">
        <f>COUNTIF($J$276:$J$307,"Sick")</f>
        <v>0</v>
      </c>
      <c r="K317" s="8">
        <f>COUNTIF($K$276:$K$307,"Sick")</f>
        <v>0</v>
      </c>
      <c r="L317" s="8">
        <f>COUNTIF($L$276:$L$307,"Sick")</f>
        <v>0</v>
      </c>
      <c r="M317" s="9">
        <f>COUNTIF($M$276:$M$307,"Sick")</f>
        <v>0</v>
      </c>
    </row>
    <row r="318" spans="1:13">
      <c r="A318" s="43" t="s">
        <v>7</v>
      </c>
      <c r="B318" s="10">
        <f>COUNTIF($B$276:$B$307,"Study")</f>
        <v>0</v>
      </c>
      <c r="C318" s="11">
        <f>COUNTIF($C$276:$C$307,"Study")</f>
        <v>0</v>
      </c>
      <c r="D318" s="11">
        <f>COUNTIF($D$276:$D$307,"Study")</f>
        <v>0</v>
      </c>
      <c r="E318" s="11">
        <f>COUNTIF($E$276:$E$307,"Study")</f>
        <v>0</v>
      </c>
      <c r="F318" s="11">
        <f>COUNTIF($F$276:$F$307,"Study")</f>
        <v>0</v>
      </c>
      <c r="G318" s="11">
        <f>COUNTIF($G$276:$G$307,"Study")</f>
        <v>0</v>
      </c>
      <c r="H318" s="11">
        <f>COUNTIF($H$276:$H$307,"Study")</f>
        <v>0</v>
      </c>
      <c r="I318" s="11">
        <f>COUNTIF($I$276:$I$307,"Study")</f>
        <v>0</v>
      </c>
      <c r="J318" s="11">
        <f>COUNTIF($J$276:$J$307,"Study")</f>
        <v>0</v>
      </c>
      <c r="K318" s="11">
        <f>COUNTIF($K$276:$K$307,"Study")</f>
        <v>0</v>
      </c>
      <c r="L318" s="11">
        <f>COUNTIF($L$276:$L$307,"Study")</f>
        <v>0</v>
      </c>
      <c r="M318" s="12">
        <f>COUNTIF($M$276:$M$307,"Study")</f>
        <v>0</v>
      </c>
    </row>
    <row r="319" spans="1:13" ht="15.75" thickBot="1"/>
    <row r="320" spans="1:13" ht="18.75" thickBot="1">
      <c r="A320" s="69" t="s">
        <v>40</v>
      </c>
      <c r="B320" s="70"/>
      <c r="C320" s="70"/>
      <c r="D320" s="70"/>
      <c r="E320" s="70"/>
      <c r="F320" s="70"/>
      <c r="G320" s="70"/>
      <c r="H320" s="70"/>
      <c r="I320" s="70"/>
      <c r="J320" s="70"/>
      <c r="K320" s="70"/>
      <c r="L320" s="70"/>
      <c r="M320" s="71"/>
    </row>
    <row r="322" spans="1:13">
      <c r="B322" s="57" t="s">
        <v>17</v>
      </c>
      <c r="C322" s="58" t="s">
        <v>18</v>
      </c>
      <c r="D322" s="58" t="s">
        <v>19</v>
      </c>
      <c r="E322" s="58" t="s">
        <v>20</v>
      </c>
      <c r="F322" s="58" t="s">
        <v>21</v>
      </c>
      <c r="G322" s="58" t="s">
        <v>22</v>
      </c>
      <c r="H322" s="58" t="s">
        <v>23</v>
      </c>
      <c r="I322" s="58" t="s">
        <v>24</v>
      </c>
      <c r="J322" s="58" t="s">
        <v>25</v>
      </c>
      <c r="K322" s="58" t="s">
        <v>26</v>
      </c>
      <c r="L322" s="58" t="s">
        <v>27</v>
      </c>
      <c r="M322" s="59" t="s">
        <v>28</v>
      </c>
    </row>
    <row r="323" spans="1:13">
      <c r="A323" s="41">
        <v>1</v>
      </c>
      <c r="B323" s="4"/>
      <c r="C323" s="5"/>
      <c r="D323" s="5"/>
      <c r="E323" s="5"/>
      <c r="F323" s="5"/>
      <c r="G323" s="5"/>
      <c r="H323" s="5"/>
      <c r="I323" s="5"/>
      <c r="J323" s="5"/>
      <c r="K323" s="5"/>
      <c r="L323" s="5"/>
      <c r="M323" s="6"/>
    </row>
    <row r="324" spans="1:13">
      <c r="A324" s="42">
        <v>2</v>
      </c>
      <c r="B324" s="7"/>
      <c r="C324" s="8"/>
      <c r="D324" s="8"/>
      <c r="E324" s="8"/>
      <c r="F324" s="8"/>
      <c r="G324" s="8"/>
      <c r="H324" s="8"/>
      <c r="I324" s="8"/>
      <c r="J324" s="8"/>
      <c r="K324" s="8"/>
      <c r="L324" s="8"/>
      <c r="M324" s="9"/>
    </row>
    <row r="325" spans="1:13">
      <c r="A325" s="42">
        <v>3</v>
      </c>
      <c r="B325" s="7"/>
      <c r="C325" s="8"/>
      <c r="D325" s="8"/>
      <c r="E325" s="8"/>
      <c r="F325" s="8"/>
      <c r="G325" s="8"/>
      <c r="H325" s="8"/>
      <c r="I325" s="8"/>
      <c r="J325" s="8"/>
      <c r="K325" s="8"/>
      <c r="L325" s="8"/>
      <c r="M325" s="9"/>
    </row>
    <row r="326" spans="1:13">
      <c r="A326" s="42">
        <v>4</v>
      </c>
      <c r="B326" s="7"/>
      <c r="C326" s="8"/>
      <c r="D326" s="8"/>
      <c r="E326" s="8"/>
      <c r="F326" s="8"/>
      <c r="G326" s="8"/>
      <c r="H326" s="8"/>
      <c r="I326" s="8"/>
      <c r="J326" s="8"/>
      <c r="K326" s="8"/>
      <c r="L326" s="8"/>
      <c r="M326" s="9"/>
    </row>
    <row r="327" spans="1:13">
      <c r="A327" s="42">
        <v>5</v>
      </c>
      <c r="B327" s="7"/>
      <c r="C327" s="8"/>
      <c r="D327" s="8"/>
      <c r="E327" s="8"/>
      <c r="F327" s="8"/>
      <c r="G327" s="8"/>
      <c r="H327" s="8"/>
      <c r="I327" s="8"/>
      <c r="J327" s="8"/>
      <c r="K327" s="8"/>
      <c r="L327" s="8"/>
      <c r="M327" s="9"/>
    </row>
    <row r="328" spans="1:13">
      <c r="A328" s="42">
        <v>6</v>
      </c>
      <c r="B328" s="7"/>
      <c r="C328" s="8"/>
      <c r="D328" s="8"/>
      <c r="E328" s="8"/>
      <c r="F328" s="8"/>
      <c r="G328" s="8"/>
      <c r="H328" s="8"/>
      <c r="I328" s="8"/>
      <c r="J328" s="8"/>
      <c r="K328" s="8"/>
      <c r="L328" s="8"/>
      <c r="M328" s="9"/>
    </row>
    <row r="329" spans="1:13">
      <c r="A329" s="42">
        <v>7</v>
      </c>
      <c r="B329" s="7"/>
      <c r="C329" s="8"/>
      <c r="D329" s="8"/>
      <c r="E329" s="8"/>
      <c r="F329" s="8"/>
      <c r="G329" s="8"/>
      <c r="H329" s="8"/>
      <c r="I329" s="8"/>
      <c r="J329" s="8"/>
      <c r="K329" s="8"/>
      <c r="L329" s="8"/>
      <c r="M329" s="9"/>
    </row>
    <row r="330" spans="1:13">
      <c r="A330" s="42">
        <v>8</v>
      </c>
      <c r="B330" s="7"/>
      <c r="C330" s="8"/>
      <c r="D330" s="8"/>
      <c r="E330" s="8"/>
      <c r="F330" s="8"/>
      <c r="G330" s="8"/>
      <c r="H330" s="8"/>
      <c r="I330" s="8"/>
      <c r="J330" s="8"/>
      <c r="K330" s="8"/>
      <c r="L330" s="8"/>
      <c r="M330" s="9"/>
    </row>
    <row r="331" spans="1:13">
      <c r="A331" s="42">
        <v>9</v>
      </c>
      <c r="B331" s="7"/>
      <c r="C331" s="8"/>
      <c r="D331" s="8"/>
      <c r="E331" s="8"/>
      <c r="F331" s="8"/>
      <c r="G331" s="8"/>
      <c r="H331" s="8"/>
      <c r="I331" s="8"/>
      <c r="J331" s="8"/>
      <c r="K331" s="8"/>
      <c r="L331" s="8"/>
      <c r="M331" s="9"/>
    </row>
    <row r="332" spans="1:13">
      <c r="A332" s="42">
        <v>10</v>
      </c>
      <c r="B332" s="7"/>
      <c r="C332" s="8"/>
      <c r="D332" s="8"/>
      <c r="E332" s="8"/>
      <c r="F332" s="8"/>
      <c r="G332" s="8"/>
      <c r="H332" s="8"/>
      <c r="I332" s="8"/>
      <c r="J332" s="8"/>
      <c r="K332" s="8"/>
      <c r="L332" s="8"/>
      <c r="M332" s="9"/>
    </row>
    <row r="333" spans="1:13">
      <c r="A333" s="42">
        <v>11</v>
      </c>
      <c r="B333" s="7"/>
      <c r="C333" s="8"/>
      <c r="D333" s="8"/>
      <c r="E333" s="8"/>
      <c r="F333" s="8"/>
      <c r="G333" s="8"/>
      <c r="H333" s="8"/>
      <c r="I333" s="8"/>
      <c r="J333" s="8"/>
      <c r="K333" s="8"/>
      <c r="L333" s="8"/>
      <c r="M333" s="9"/>
    </row>
    <row r="334" spans="1:13">
      <c r="A334" s="42">
        <v>12</v>
      </c>
      <c r="B334" s="7"/>
      <c r="C334" s="8"/>
      <c r="D334" s="8"/>
      <c r="E334" s="8"/>
      <c r="F334" s="8"/>
      <c r="G334" s="8"/>
      <c r="H334" s="8"/>
      <c r="I334" s="8"/>
      <c r="J334" s="8"/>
      <c r="K334" s="8"/>
      <c r="L334" s="8"/>
      <c r="M334" s="9"/>
    </row>
    <row r="335" spans="1:13">
      <c r="A335" s="42">
        <v>13</v>
      </c>
      <c r="B335" s="7"/>
      <c r="C335" s="8"/>
      <c r="D335" s="8"/>
      <c r="E335" s="8"/>
      <c r="F335" s="8"/>
      <c r="G335" s="8"/>
      <c r="H335" s="8"/>
      <c r="I335" s="8"/>
      <c r="J335" s="8"/>
      <c r="K335" s="8"/>
      <c r="L335" s="8"/>
      <c r="M335" s="9"/>
    </row>
    <row r="336" spans="1:13">
      <c r="A336" s="42">
        <v>14</v>
      </c>
      <c r="B336" s="7"/>
      <c r="C336" s="8"/>
      <c r="D336" s="8"/>
      <c r="E336" s="8"/>
      <c r="F336" s="8"/>
      <c r="G336" s="8"/>
      <c r="H336" s="8"/>
      <c r="I336" s="8"/>
      <c r="J336" s="8"/>
      <c r="K336" s="8"/>
      <c r="L336" s="8"/>
      <c r="M336" s="9"/>
    </row>
    <row r="337" spans="1:13">
      <c r="A337" s="42">
        <v>15</v>
      </c>
      <c r="B337" s="7"/>
      <c r="C337" s="8"/>
      <c r="D337" s="8"/>
      <c r="E337" s="8"/>
      <c r="F337" s="8"/>
      <c r="G337" s="8"/>
      <c r="H337" s="8"/>
      <c r="I337" s="8"/>
      <c r="J337" s="8"/>
      <c r="K337" s="8"/>
      <c r="L337" s="8"/>
      <c r="M337" s="9"/>
    </row>
    <row r="338" spans="1:13">
      <c r="A338" s="42">
        <v>16</v>
      </c>
      <c r="B338" s="7"/>
      <c r="C338" s="8"/>
      <c r="D338" s="8"/>
      <c r="E338" s="8"/>
      <c r="F338" s="8"/>
      <c r="G338" s="8"/>
      <c r="H338" s="8"/>
      <c r="I338" s="8"/>
      <c r="J338" s="8"/>
      <c r="K338" s="8"/>
      <c r="L338" s="8"/>
      <c r="M338" s="9"/>
    </row>
    <row r="339" spans="1:13">
      <c r="A339" s="42">
        <v>17</v>
      </c>
      <c r="B339" s="7"/>
      <c r="C339" s="8"/>
      <c r="D339" s="8"/>
      <c r="E339" s="8"/>
      <c r="F339" s="8"/>
      <c r="G339" s="8"/>
      <c r="H339" s="8"/>
      <c r="I339" s="8"/>
      <c r="J339" s="8"/>
      <c r="K339" s="8"/>
      <c r="L339" s="8"/>
      <c r="M339" s="9"/>
    </row>
    <row r="340" spans="1:13">
      <c r="A340" s="42">
        <v>18</v>
      </c>
      <c r="B340" s="7"/>
      <c r="C340" s="8"/>
      <c r="D340" s="8"/>
      <c r="E340" s="8"/>
      <c r="F340" s="8"/>
      <c r="G340" s="8"/>
      <c r="H340" s="8"/>
      <c r="I340" s="8"/>
      <c r="J340" s="8"/>
      <c r="K340" s="8"/>
      <c r="L340" s="8"/>
      <c r="M340" s="9"/>
    </row>
    <row r="341" spans="1:13">
      <c r="A341" s="42">
        <v>19</v>
      </c>
      <c r="B341" s="7"/>
      <c r="C341" s="8"/>
      <c r="D341" s="8"/>
      <c r="E341" s="8"/>
      <c r="F341" s="8"/>
      <c r="G341" s="8"/>
      <c r="H341" s="8"/>
      <c r="I341" s="8"/>
      <c r="J341" s="8"/>
      <c r="K341" s="8"/>
      <c r="L341" s="8"/>
      <c r="M341" s="9"/>
    </row>
    <row r="342" spans="1:13">
      <c r="A342" s="42">
        <v>20</v>
      </c>
      <c r="B342" s="7"/>
      <c r="C342" s="8"/>
      <c r="D342" s="8"/>
      <c r="E342" s="8"/>
      <c r="F342" s="8"/>
      <c r="G342" s="8"/>
      <c r="H342" s="8"/>
      <c r="I342" s="8"/>
      <c r="J342" s="8"/>
      <c r="K342" s="8"/>
      <c r="L342" s="8"/>
      <c r="M342" s="9"/>
    </row>
    <row r="343" spans="1:13">
      <c r="A343" s="42">
        <v>21</v>
      </c>
      <c r="B343" s="7"/>
      <c r="C343" s="8"/>
      <c r="D343" s="8"/>
      <c r="E343" s="8"/>
      <c r="F343" s="8"/>
      <c r="G343" s="8"/>
      <c r="H343" s="8"/>
      <c r="I343" s="8"/>
      <c r="J343" s="8"/>
      <c r="K343" s="8"/>
      <c r="L343" s="8"/>
      <c r="M343" s="9"/>
    </row>
    <row r="344" spans="1:13">
      <c r="A344" s="42">
        <v>22</v>
      </c>
      <c r="B344" s="7"/>
      <c r="C344" s="8"/>
      <c r="D344" s="8"/>
      <c r="E344" s="8"/>
      <c r="F344" s="8"/>
      <c r="G344" s="8"/>
      <c r="H344" s="8"/>
      <c r="I344" s="8"/>
      <c r="J344" s="8"/>
      <c r="K344" s="8"/>
      <c r="L344" s="8"/>
      <c r="M344" s="9"/>
    </row>
    <row r="345" spans="1:13">
      <c r="A345" s="42">
        <v>23</v>
      </c>
      <c r="B345" s="7"/>
      <c r="C345" s="8"/>
      <c r="D345" s="8"/>
      <c r="E345" s="8"/>
      <c r="F345" s="8"/>
      <c r="G345" s="8"/>
      <c r="H345" s="8"/>
      <c r="I345" s="8"/>
      <c r="J345" s="8"/>
      <c r="K345" s="8"/>
      <c r="L345" s="8"/>
      <c r="M345" s="9"/>
    </row>
    <row r="346" spans="1:13">
      <c r="A346" s="42">
        <v>24</v>
      </c>
      <c r="B346" s="7"/>
      <c r="C346" s="8"/>
      <c r="D346" s="8"/>
      <c r="E346" s="8"/>
      <c r="F346" s="8"/>
      <c r="G346" s="8"/>
      <c r="H346" s="8"/>
      <c r="I346" s="8"/>
      <c r="J346" s="8"/>
      <c r="K346" s="8"/>
      <c r="L346" s="8"/>
      <c r="M346" s="9"/>
    </row>
    <row r="347" spans="1:13">
      <c r="A347" s="42">
        <v>25</v>
      </c>
      <c r="B347" s="7"/>
      <c r="C347" s="8"/>
      <c r="D347" s="8"/>
      <c r="E347" s="8"/>
      <c r="F347" s="8"/>
      <c r="G347" s="8"/>
      <c r="H347" s="8"/>
      <c r="I347" s="8"/>
      <c r="J347" s="8"/>
      <c r="K347" s="8"/>
      <c r="L347" s="8"/>
      <c r="M347" s="9"/>
    </row>
    <row r="348" spans="1:13">
      <c r="A348" s="42">
        <v>26</v>
      </c>
      <c r="B348" s="7"/>
      <c r="C348" s="8"/>
      <c r="D348" s="8"/>
      <c r="E348" s="8"/>
      <c r="F348" s="8"/>
      <c r="G348" s="8"/>
      <c r="H348" s="8"/>
      <c r="I348" s="8"/>
      <c r="J348" s="8"/>
      <c r="K348" s="8"/>
      <c r="L348" s="8"/>
      <c r="M348" s="9"/>
    </row>
    <row r="349" spans="1:13">
      <c r="A349" s="42">
        <v>27</v>
      </c>
      <c r="B349" s="7"/>
      <c r="C349" s="8"/>
      <c r="D349" s="8"/>
      <c r="E349" s="8"/>
      <c r="F349" s="8"/>
      <c r="G349" s="8"/>
      <c r="H349" s="8"/>
      <c r="I349" s="8"/>
      <c r="J349" s="8"/>
      <c r="K349" s="8"/>
      <c r="L349" s="8"/>
      <c r="M349" s="9"/>
    </row>
    <row r="350" spans="1:13">
      <c r="A350" s="42">
        <v>28</v>
      </c>
      <c r="B350" s="7"/>
      <c r="C350" s="8"/>
      <c r="D350" s="8"/>
      <c r="E350" s="8"/>
      <c r="F350" s="8"/>
      <c r="G350" s="8"/>
      <c r="H350" s="8"/>
      <c r="I350" s="8"/>
      <c r="J350" s="8"/>
      <c r="K350" s="8"/>
      <c r="L350" s="8"/>
      <c r="M350" s="9"/>
    </row>
    <row r="351" spans="1:13">
      <c r="A351" s="42">
        <v>29</v>
      </c>
      <c r="B351" s="7"/>
      <c r="C351" s="8"/>
      <c r="D351" s="8"/>
      <c r="E351" s="8"/>
      <c r="F351" s="8"/>
      <c r="G351" s="8"/>
      <c r="H351" s="8"/>
      <c r="I351" s="8"/>
      <c r="J351" s="8"/>
      <c r="K351" s="8"/>
      <c r="L351" s="8"/>
      <c r="M351" s="9"/>
    </row>
    <row r="352" spans="1:13">
      <c r="A352" s="42">
        <v>30</v>
      </c>
      <c r="B352" s="7"/>
      <c r="C352" s="8"/>
      <c r="D352" s="8"/>
      <c r="E352" s="8"/>
      <c r="F352" s="8"/>
      <c r="G352" s="8"/>
      <c r="H352" s="8"/>
      <c r="I352" s="8"/>
      <c r="J352" s="8"/>
      <c r="K352" s="8"/>
      <c r="L352" s="8"/>
      <c r="M352" s="9"/>
    </row>
    <row r="353" spans="1:13">
      <c r="A353" s="43">
        <v>31</v>
      </c>
      <c r="B353" s="10"/>
      <c r="C353" s="11"/>
      <c r="D353" s="11"/>
      <c r="E353" s="11"/>
      <c r="F353" s="11"/>
      <c r="G353" s="11"/>
      <c r="H353" s="11"/>
      <c r="I353" s="11"/>
      <c r="J353" s="11"/>
      <c r="K353" s="11"/>
      <c r="L353" s="11"/>
      <c r="M353" s="12"/>
    </row>
    <row r="355" spans="1:13" ht="15.75">
      <c r="A355" s="72" t="s">
        <v>29</v>
      </c>
      <c r="B355" s="72"/>
      <c r="C355" s="72"/>
      <c r="D355" s="72"/>
      <c r="E355" s="72"/>
      <c r="F355" s="72"/>
      <c r="G355" s="72"/>
      <c r="H355" s="72"/>
      <c r="I355" s="72"/>
      <c r="J355" s="72"/>
      <c r="K355" s="72"/>
      <c r="L355" s="72"/>
      <c r="M355" s="72"/>
    </row>
    <row r="356" spans="1:13">
      <c r="B356" s="57" t="s">
        <v>17</v>
      </c>
      <c r="C356" s="58" t="s">
        <v>18</v>
      </c>
      <c r="D356" s="58" t="s">
        <v>19</v>
      </c>
      <c r="E356" s="58" t="s">
        <v>20</v>
      </c>
      <c r="F356" s="58" t="s">
        <v>21</v>
      </c>
      <c r="G356" s="58" t="s">
        <v>22</v>
      </c>
      <c r="H356" s="58" t="s">
        <v>23</v>
      </c>
      <c r="I356" s="58" t="s">
        <v>24</v>
      </c>
      <c r="J356" s="58" t="s">
        <v>25</v>
      </c>
      <c r="K356" s="58" t="s">
        <v>26</v>
      </c>
      <c r="L356" s="58" t="s">
        <v>27</v>
      </c>
      <c r="M356" s="59" t="s">
        <v>28</v>
      </c>
    </row>
    <row r="357" spans="1:13">
      <c r="A357" s="41" t="s">
        <v>3</v>
      </c>
      <c r="B357" s="4">
        <f>COUNTIF($B$322:$B$353,"Anchor")</f>
        <v>0</v>
      </c>
      <c r="C357" s="5">
        <f>COUNTIF($C$322:$C$353,"Anchor")</f>
        <v>0</v>
      </c>
      <c r="D357" s="5">
        <f>COUNTIF($D$322:$D$353,"Anchor")</f>
        <v>0</v>
      </c>
      <c r="E357" s="5">
        <f>COUNTIF($E$322:$E$353,"Anchor")</f>
        <v>0</v>
      </c>
      <c r="F357" s="5">
        <f>COUNTIF($F$322:$F$353,"Anchor")</f>
        <v>0</v>
      </c>
      <c r="G357" s="5">
        <f>COUNTIF($G$322:$G$353,"Anchor")</f>
        <v>0</v>
      </c>
      <c r="H357" s="5">
        <f>COUNTIF($H$322:$H$353,"Anchor")</f>
        <v>0</v>
      </c>
      <c r="I357" s="5">
        <f>COUNTIF($I$322:$I$353,"Anchor")</f>
        <v>0</v>
      </c>
      <c r="J357" s="5">
        <f>COUNTIF($J$322:$J$353,"Anchor")</f>
        <v>0</v>
      </c>
      <c r="K357" s="5">
        <f>COUNTIF($K$322:$K$353,"Anchor")</f>
        <v>0</v>
      </c>
      <c r="L357" s="5">
        <f>COUNTIF($L$322:$L$353,"Anchor")</f>
        <v>0</v>
      </c>
      <c r="M357" s="6">
        <f>COUNTIF($M$322:$M$353,"Anchor")</f>
        <v>0</v>
      </c>
    </row>
    <row r="358" spans="1:13">
      <c r="A358" s="42" t="s">
        <v>1</v>
      </c>
      <c r="B358" s="7">
        <f>COUNTIF($B$322:$B$353,"At Sea")</f>
        <v>0</v>
      </c>
      <c r="C358" s="8">
        <f>COUNTIF($C$322:$C$353,"At Sea")</f>
        <v>0</v>
      </c>
      <c r="D358" s="8">
        <f>COUNTIF($D$322:$D$353,"At Sea")</f>
        <v>0</v>
      </c>
      <c r="E358" s="8">
        <f>COUNTIF($E$322:$E$353,"At Sea")</f>
        <v>0</v>
      </c>
      <c r="F358" s="8">
        <f>COUNTIF($F$322:$F$353,"At Sea")</f>
        <v>0</v>
      </c>
      <c r="G358" s="8">
        <f>COUNTIF($G$322:$G$353,"At Sea")</f>
        <v>0</v>
      </c>
      <c r="H358" s="8">
        <f>COUNTIF($H$322:$H$353,"At Sea")</f>
        <v>0</v>
      </c>
      <c r="I358" s="8">
        <f>COUNTIF($I$322:$I$353,"At Sea")</f>
        <v>0</v>
      </c>
      <c r="J358" s="8">
        <f>COUNTIF($J$322:$J$353,"At Sea")</f>
        <v>0</v>
      </c>
      <c r="K358" s="8">
        <f>COUNTIF($K$322:$K$353,"At Sea")</f>
        <v>0</v>
      </c>
      <c r="L358" s="8">
        <f>COUNTIF($L$322:$L$353,"At Sea")</f>
        <v>0</v>
      </c>
      <c r="M358" s="9">
        <f>COUNTIF($M$322:$M$353,"At Sea")</f>
        <v>0</v>
      </c>
    </row>
    <row r="359" spans="1:13">
      <c r="A359" s="42" t="s">
        <v>2</v>
      </c>
      <c r="B359" s="7">
        <f>COUNTIF($B$322:$B$353,"On Dock")</f>
        <v>0</v>
      </c>
      <c r="C359" s="8">
        <f>COUNTIF($C$322:$C$353,"On Dock")</f>
        <v>0</v>
      </c>
      <c r="D359" s="8">
        <f>COUNTIF($D$322:$D$353,"On Dock")</f>
        <v>0</v>
      </c>
      <c r="E359" s="8">
        <f>COUNTIF($E$322:$E$353,"On Dock")</f>
        <v>0</v>
      </c>
      <c r="F359" s="8">
        <f>COUNTIF($F$322:$F$353,"On Dock")</f>
        <v>0</v>
      </c>
      <c r="G359" s="8">
        <f>COUNTIF($G$322:$G$353,"On Dock")</f>
        <v>0</v>
      </c>
      <c r="H359" s="8">
        <f>COUNTIF($H$322:$H$353,"On Dock")</f>
        <v>0</v>
      </c>
      <c r="I359" s="8">
        <f>COUNTIF($I$322:$I$353,"On Dock")</f>
        <v>0</v>
      </c>
      <c r="J359" s="8">
        <f>COUNTIF($J$322:$J$353,"On Dock")</f>
        <v>0</v>
      </c>
      <c r="K359" s="8">
        <f>COUNTIF($K$322:$K$353,"On Dock")</f>
        <v>0</v>
      </c>
      <c r="L359" s="8">
        <f>COUNTIF($L$322:$L$353,"On Dock")</f>
        <v>0</v>
      </c>
      <c r="M359" s="9">
        <f>COUNTIF($M$322:$M$353,"On Dock")</f>
        <v>0</v>
      </c>
    </row>
    <row r="360" spans="1:13">
      <c r="A360" s="42" t="s">
        <v>51</v>
      </c>
      <c r="B360" s="7">
        <f>COUNTIF($B$322:$B$353,"Standby")</f>
        <v>0</v>
      </c>
      <c r="C360" s="8">
        <f>COUNTIF($C$322:$C$353,"Standby")</f>
        <v>0</v>
      </c>
      <c r="D360" s="8">
        <f>COUNTIF($D$322:$D$353,"Standby")</f>
        <v>0</v>
      </c>
      <c r="E360" s="8">
        <f>COUNTIF($E$322:$E$353,"Standby")</f>
        <v>0</v>
      </c>
      <c r="F360" s="8">
        <f>COUNTIF($F$322:$F$353,"Standby")</f>
        <v>0</v>
      </c>
      <c r="G360" s="8">
        <f>COUNTIF($G$322:$G$353,"Standby")</f>
        <v>0</v>
      </c>
      <c r="H360" s="8">
        <f>COUNTIF($H$322:$H$353,"Standby")</f>
        <v>0</v>
      </c>
      <c r="I360" s="8">
        <f>COUNTIF($I$322:$I$353,"Standby")</f>
        <v>0</v>
      </c>
      <c r="J360" s="8">
        <f>COUNTIF($J$322:$J$353,"Standby")</f>
        <v>0</v>
      </c>
      <c r="K360" s="8">
        <f>COUNTIF($K$322:$K$353,"Standby")</f>
        <v>0</v>
      </c>
      <c r="L360" s="8">
        <f>COUNTIF($L$322:$L$353,"Standby")</f>
        <v>0</v>
      </c>
      <c r="M360" s="9">
        <f>COUNTIF($M$322:$M$353,"Standby")</f>
        <v>0</v>
      </c>
    </row>
    <row r="361" spans="1:13">
      <c r="A361" s="42" t="s">
        <v>4</v>
      </c>
      <c r="B361" s="7">
        <f>COUNTIF($B$322:$B$353,"Yard")</f>
        <v>0</v>
      </c>
      <c r="C361" s="8">
        <f>COUNTIF($C$322:$C$353,"Yard")</f>
        <v>0</v>
      </c>
      <c r="D361" s="8">
        <f>COUNTIF($D$322:$D$353,"Yard")</f>
        <v>0</v>
      </c>
      <c r="E361" s="8">
        <f>COUNTIF($E$322:$E$353,"Yard")</f>
        <v>0</v>
      </c>
      <c r="F361" s="8">
        <f>COUNTIF($F$322:$F$353,"Yard")</f>
        <v>0</v>
      </c>
      <c r="G361" s="8">
        <f>COUNTIF($G$322:$G$353,"Yard")</f>
        <v>0</v>
      </c>
      <c r="H361" s="8">
        <f>COUNTIF($H$322:$H$353,"Yard")</f>
        <v>0</v>
      </c>
      <c r="I361" s="8">
        <f>COUNTIF($I$322:$I$353,"Yard")</f>
        <v>0</v>
      </c>
      <c r="J361" s="8">
        <f>COUNTIF($J$322:$J$353,"Yard")</f>
        <v>0</v>
      </c>
      <c r="K361" s="8">
        <f>COUNTIF($K$322:$K$353,"Yard")</f>
        <v>0</v>
      </c>
      <c r="L361" s="8">
        <f>COUNTIF($L$322:$L$353,"Yard")</f>
        <v>0</v>
      </c>
      <c r="M361" s="9">
        <f>COUNTIF($M$322:$M$353,"Yard")</f>
        <v>0</v>
      </c>
    </row>
    <row r="362" spans="1:13">
      <c r="A362" s="42" t="s">
        <v>5</v>
      </c>
      <c r="B362" s="7">
        <f>COUNTIF($B$322:$B$353,"Holiday")</f>
        <v>0</v>
      </c>
      <c r="C362" s="8">
        <f>COUNTIF($C$322:$C$353,"Holiday")</f>
        <v>0</v>
      </c>
      <c r="D362" s="8">
        <f>COUNTIF($D$322:$D$353,"Holiday")</f>
        <v>0</v>
      </c>
      <c r="E362" s="8">
        <f>COUNTIF($E$322:$E$353,"Holiday")</f>
        <v>0</v>
      </c>
      <c r="F362" s="8">
        <f>COUNTIF($F$322:$F$353,"Holiday")</f>
        <v>0</v>
      </c>
      <c r="G362" s="8">
        <f>COUNTIF($G$322:$G$353,"Holiday")</f>
        <v>0</v>
      </c>
      <c r="H362" s="8">
        <f>COUNTIF($H$322:$H$353,"Holiday")</f>
        <v>0</v>
      </c>
      <c r="I362" s="8">
        <f>COUNTIF($I$322:$I$353,"Holiday")</f>
        <v>0</v>
      </c>
      <c r="J362" s="8">
        <f>COUNTIF($J$322:$J$353,"Holiday")</f>
        <v>0</v>
      </c>
      <c r="K362" s="8">
        <f>COUNTIF($K$322:$K$353,"Holiday")</f>
        <v>0</v>
      </c>
      <c r="L362" s="8">
        <f>COUNTIF($L$322:$L$353,"Holiday")</f>
        <v>0</v>
      </c>
      <c r="M362" s="9">
        <f>COUNTIF($M$322:$M$353,"Holiday")</f>
        <v>0</v>
      </c>
    </row>
    <row r="363" spans="1:13">
      <c r="A363" s="42" t="s">
        <v>6</v>
      </c>
      <c r="B363" s="7">
        <f>COUNTIF($B$322:$B$353,"Sick")</f>
        <v>0</v>
      </c>
      <c r="C363" s="8">
        <f>COUNTIF($C$322:$C$353,"Sick")</f>
        <v>0</v>
      </c>
      <c r="D363" s="8">
        <f>COUNTIF($D$322:$D$353,"Sick")</f>
        <v>0</v>
      </c>
      <c r="E363" s="8">
        <f>COUNTIF($E$322:$E$353,"Sick")</f>
        <v>0</v>
      </c>
      <c r="F363" s="8">
        <f>COUNTIF($F$322:$F$353,"Sick")</f>
        <v>0</v>
      </c>
      <c r="G363" s="8">
        <f>COUNTIF($G$322:$G$353,"Sick")</f>
        <v>0</v>
      </c>
      <c r="H363" s="8">
        <f>COUNTIF($H$322:$H$353,"Sick")</f>
        <v>0</v>
      </c>
      <c r="I363" s="8">
        <f>COUNTIF($I$322:$I$353,"Sick")</f>
        <v>0</v>
      </c>
      <c r="J363" s="8">
        <f>COUNTIF($J$322:$J$353,"Sick")</f>
        <v>0</v>
      </c>
      <c r="K363" s="8">
        <f>COUNTIF($K$322:$K$353,"Sick")</f>
        <v>0</v>
      </c>
      <c r="L363" s="8">
        <f>COUNTIF($L$322:$L$353,"Sick")</f>
        <v>0</v>
      </c>
      <c r="M363" s="9">
        <f>COUNTIF($M$322:$M$353,"Sick")</f>
        <v>0</v>
      </c>
    </row>
    <row r="364" spans="1:13">
      <c r="A364" s="43" t="s">
        <v>7</v>
      </c>
      <c r="B364" s="10">
        <f>COUNTIF($B$322:$B$353,"Study")</f>
        <v>0</v>
      </c>
      <c r="C364" s="11">
        <f>COUNTIF($C$322:$C$353,"Study")</f>
        <v>0</v>
      </c>
      <c r="D364" s="11">
        <f>COUNTIF($D$322:$D$353,"Study")</f>
        <v>0</v>
      </c>
      <c r="E364" s="11">
        <f>COUNTIF($E$322:$E$353,"Study")</f>
        <v>0</v>
      </c>
      <c r="F364" s="11">
        <f>COUNTIF($F$322:$F$353,"Study")</f>
        <v>0</v>
      </c>
      <c r="G364" s="11">
        <f>COUNTIF($G$322:$G$353,"Study")</f>
        <v>0</v>
      </c>
      <c r="H364" s="11">
        <f>COUNTIF($H$322:$H$353,"Study")</f>
        <v>0</v>
      </c>
      <c r="I364" s="11">
        <f>COUNTIF($I$322:$I$353,"Study")</f>
        <v>0</v>
      </c>
      <c r="J364" s="11">
        <f>COUNTIF($J$322:$J$353,"Study")</f>
        <v>0</v>
      </c>
      <c r="K364" s="11">
        <f>COUNTIF($K$322:$K$353,"Study")</f>
        <v>0</v>
      </c>
      <c r="L364" s="11">
        <f>COUNTIF($L$322:$L$353,"Study")</f>
        <v>0</v>
      </c>
      <c r="M364" s="12">
        <f>COUNTIF($M$322:$M$353,"Study")</f>
        <v>0</v>
      </c>
    </row>
    <row r="365" spans="1:13" ht="15.75" thickBot="1"/>
    <row r="366" spans="1:13" ht="18.75" thickBot="1">
      <c r="A366" s="69" t="s">
        <v>45</v>
      </c>
      <c r="B366" s="70"/>
      <c r="C366" s="70"/>
      <c r="D366" s="70"/>
      <c r="E366" s="70"/>
      <c r="F366" s="70"/>
      <c r="G366" s="70"/>
      <c r="H366" s="70"/>
      <c r="I366" s="70"/>
      <c r="J366" s="70"/>
      <c r="K366" s="70"/>
      <c r="L366" s="70"/>
      <c r="M366" s="71"/>
    </row>
    <row r="368" spans="1:13">
      <c r="B368" s="57" t="s">
        <v>17</v>
      </c>
      <c r="C368" s="58" t="s">
        <v>18</v>
      </c>
      <c r="D368" s="58" t="s">
        <v>19</v>
      </c>
      <c r="E368" s="58" t="s">
        <v>20</v>
      </c>
      <c r="F368" s="58" t="s">
        <v>21</v>
      </c>
      <c r="G368" s="58" t="s">
        <v>22</v>
      </c>
      <c r="H368" s="58" t="s">
        <v>23</v>
      </c>
      <c r="I368" s="58" t="s">
        <v>24</v>
      </c>
      <c r="J368" s="58" t="s">
        <v>25</v>
      </c>
      <c r="K368" s="58" t="s">
        <v>26</v>
      </c>
      <c r="L368" s="58" t="s">
        <v>27</v>
      </c>
      <c r="M368" s="59" t="s">
        <v>28</v>
      </c>
    </row>
    <row r="369" spans="1:13">
      <c r="A369" s="41">
        <v>1</v>
      </c>
      <c r="B369" s="4"/>
      <c r="C369" s="5"/>
      <c r="D369" s="5"/>
      <c r="E369" s="5"/>
      <c r="F369" s="5"/>
      <c r="G369" s="5"/>
      <c r="H369" s="5"/>
      <c r="I369" s="5"/>
      <c r="J369" s="5"/>
      <c r="K369" s="5"/>
      <c r="L369" s="5"/>
      <c r="M369" s="6"/>
    </row>
    <row r="370" spans="1:13">
      <c r="A370" s="42">
        <v>2</v>
      </c>
      <c r="B370" s="7"/>
      <c r="C370" s="8"/>
      <c r="D370" s="8"/>
      <c r="E370" s="8"/>
      <c r="F370" s="8"/>
      <c r="G370" s="8"/>
      <c r="H370" s="8"/>
      <c r="I370" s="8"/>
      <c r="J370" s="8"/>
      <c r="K370" s="8"/>
      <c r="L370" s="8"/>
      <c r="M370" s="9"/>
    </row>
    <row r="371" spans="1:13">
      <c r="A371" s="42">
        <v>3</v>
      </c>
      <c r="B371" s="7"/>
      <c r="C371" s="8"/>
      <c r="D371" s="8"/>
      <c r="E371" s="8"/>
      <c r="F371" s="8"/>
      <c r="G371" s="8"/>
      <c r="H371" s="8"/>
      <c r="I371" s="8"/>
      <c r="J371" s="8"/>
      <c r="K371" s="8"/>
      <c r="L371" s="8"/>
      <c r="M371" s="9"/>
    </row>
    <row r="372" spans="1:13">
      <c r="A372" s="42">
        <v>4</v>
      </c>
      <c r="B372" s="7"/>
      <c r="C372" s="8"/>
      <c r="D372" s="8"/>
      <c r="E372" s="8"/>
      <c r="F372" s="8"/>
      <c r="G372" s="8"/>
      <c r="H372" s="8"/>
      <c r="I372" s="8"/>
      <c r="J372" s="8"/>
      <c r="K372" s="8"/>
      <c r="L372" s="8"/>
      <c r="M372" s="9"/>
    </row>
    <row r="373" spans="1:13">
      <c r="A373" s="42">
        <v>5</v>
      </c>
      <c r="B373" s="7"/>
      <c r="C373" s="8"/>
      <c r="D373" s="8"/>
      <c r="E373" s="8"/>
      <c r="F373" s="8"/>
      <c r="G373" s="8"/>
      <c r="H373" s="8"/>
      <c r="I373" s="8"/>
      <c r="J373" s="8"/>
      <c r="K373" s="8"/>
      <c r="L373" s="8"/>
      <c r="M373" s="9"/>
    </row>
    <row r="374" spans="1:13">
      <c r="A374" s="42">
        <v>6</v>
      </c>
      <c r="B374" s="7"/>
      <c r="C374" s="8"/>
      <c r="D374" s="8"/>
      <c r="E374" s="8"/>
      <c r="F374" s="8"/>
      <c r="G374" s="8"/>
      <c r="H374" s="8"/>
      <c r="I374" s="8"/>
      <c r="J374" s="8"/>
      <c r="K374" s="8"/>
      <c r="L374" s="8"/>
      <c r="M374" s="9"/>
    </row>
    <row r="375" spans="1:13">
      <c r="A375" s="42">
        <v>7</v>
      </c>
      <c r="B375" s="7"/>
      <c r="C375" s="8"/>
      <c r="D375" s="8"/>
      <c r="E375" s="8"/>
      <c r="F375" s="8"/>
      <c r="G375" s="8"/>
      <c r="H375" s="8"/>
      <c r="I375" s="8"/>
      <c r="J375" s="8"/>
      <c r="K375" s="8"/>
      <c r="L375" s="8"/>
      <c r="M375" s="9"/>
    </row>
    <row r="376" spans="1:13">
      <c r="A376" s="42">
        <v>8</v>
      </c>
      <c r="B376" s="7"/>
      <c r="C376" s="8"/>
      <c r="D376" s="8"/>
      <c r="E376" s="8"/>
      <c r="F376" s="8"/>
      <c r="G376" s="8"/>
      <c r="H376" s="8"/>
      <c r="I376" s="8"/>
      <c r="J376" s="8"/>
      <c r="K376" s="8"/>
      <c r="L376" s="8"/>
      <c r="M376" s="9"/>
    </row>
    <row r="377" spans="1:13">
      <c r="A377" s="42">
        <v>9</v>
      </c>
      <c r="B377" s="7"/>
      <c r="C377" s="8"/>
      <c r="D377" s="8"/>
      <c r="E377" s="8"/>
      <c r="F377" s="8"/>
      <c r="G377" s="8"/>
      <c r="H377" s="8"/>
      <c r="I377" s="8"/>
      <c r="J377" s="8"/>
      <c r="K377" s="8"/>
      <c r="L377" s="8"/>
      <c r="M377" s="9"/>
    </row>
    <row r="378" spans="1:13">
      <c r="A378" s="42">
        <v>10</v>
      </c>
      <c r="B378" s="7"/>
      <c r="C378" s="8"/>
      <c r="D378" s="8"/>
      <c r="E378" s="8"/>
      <c r="F378" s="8"/>
      <c r="G378" s="8"/>
      <c r="H378" s="8"/>
      <c r="I378" s="8"/>
      <c r="J378" s="8"/>
      <c r="K378" s="8"/>
      <c r="L378" s="8"/>
      <c r="M378" s="9"/>
    </row>
    <row r="379" spans="1:13">
      <c r="A379" s="42">
        <v>11</v>
      </c>
      <c r="B379" s="7"/>
      <c r="C379" s="8"/>
      <c r="D379" s="8"/>
      <c r="E379" s="8"/>
      <c r="F379" s="8"/>
      <c r="G379" s="8"/>
      <c r="H379" s="8"/>
      <c r="I379" s="8"/>
      <c r="J379" s="8"/>
      <c r="K379" s="8"/>
      <c r="L379" s="8"/>
      <c r="M379" s="9"/>
    </row>
    <row r="380" spans="1:13">
      <c r="A380" s="42">
        <v>12</v>
      </c>
      <c r="B380" s="7"/>
      <c r="C380" s="8"/>
      <c r="D380" s="8"/>
      <c r="E380" s="8"/>
      <c r="F380" s="8"/>
      <c r="G380" s="8"/>
      <c r="H380" s="8"/>
      <c r="I380" s="8"/>
      <c r="J380" s="8"/>
      <c r="K380" s="8"/>
      <c r="L380" s="8"/>
      <c r="M380" s="9"/>
    </row>
    <row r="381" spans="1:13">
      <c r="A381" s="42">
        <v>13</v>
      </c>
      <c r="B381" s="7"/>
      <c r="C381" s="8"/>
      <c r="D381" s="8"/>
      <c r="E381" s="8"/>
      <c r="F381" s="8"/>
      <c r="G381" s="8"/>
      <c r="H381" s="8"/>
      <c r="I381" s="8"/>
      <c r="J381" s="8"/>
      <c r="K381" s="8"/>
      <c r="L381" s="8"/>
      <c r="M381" s="9"/>
    </row>
    <row r="382" spans="1:13">
      <c r="A382" s="42">
        <v>14</v>
      </c>
      <c r="B382" s="7"/>
      <c r="C382" s="8"/>
      <c r="D382" s="8"/>
      <c r="E382" s="8"/>
      <c r="F382" s="8"/>
      <c r="G382" s="8"/>
      <c r="H382" s="8"/>
      <c r="I382" s="8"/>
      <c r="J382" s="8"/>
      <c r="K382" s="8"/>
      <c r="L382" s="8"/>
      <c r="M382" s="9"/>
    </row>
    <row r="383" spans="1:13">
      <c r="A383" s="42">
        <v>15</v>
      </c>
      <c r="B383" s="7"/>
      <c r="C383" s="8"/>
      <c r="D383" s="8"/>
      <c r="E383" s="8"/>
      <c r="F383" s="8"/>
      <c r="G383" s="8"/>
      <c r="H383" s="8"/>
      <c r="I383" s="8"/>
      <c r="J383" s="8"/>
      <c r="K383" s="8"/>
      <c r="L383" s="8"/>
      <c r="M383" s="9"/>
    </row>
    <row r="384" spans="1:13">
      <c r="A384" s="42">
        <v>16</v>
      </c>
      <c r="B384" s="7"/>
      <c r="C384" s="8"/>
      <c r="D384" s="8"/>
      <c r="E384" s="8"/>
      <c r="F384" s="8"/>
      <c r="G384" s="8"/>
      <c r="H384" s="8"/>
      <c r="I384" s="8"/>
      <c r="J384" s="8"/>
      <c r="K384" s="8"/>
      <c r="L384" s="8"/>
      <c r="M384" s="9"/>
    </row>
    <row r="385" spans="1:13">
      <c r="A385" s="42">
        <v>17</v>
      </c>
      <c r="B385" s="7"/>
      <c r="C385" s="8"/>
      <c r="D385" s="8"/>
      <c r="E385" s="8"/>
      <c r="F385" s="8"/>
      <c r="G385" s="8"/>
      <c r="H385" s="8"/>
      <c r="I385" s="8"/>
      <c r="J385" s="8"/>
      <c r="K385" s="8"/>
      <c r="L385" s="8"/>
      <c r="M385" s="9"/>
    </row>
    <row r="386" spans="1:13">
      <c r="A386" s="42">
        <v>18</v>
      </c>
      <c r="B386" s="7"/>
      <c r="C386" s="8"/>
      <c r="D386" s="8"/>
      <c r="E386" s="8"/>
      <c r="F386" s="8"/>
      <c r="G386" s="8"/>
      <c r="H386" s="8"/>
      <c r="I386" s="8"/>
      <c r="J386" s="8"/>
      <c r="K386" s="8"/>
      <c r="L386" s="8"/>
      <c r="M386" s="9"/>
    </row>
    <row r="387" spans="1:13">
      <c r="A387" s="42">
        <v>19</v>
      </c>
      <c r="B387" s="7"/>
      <c r="C387" s="8"/>
      <c r="D387" s="8"/>
      <c r="E387" s="8"/>
      <c r="F387" s="8"/>
      <c r="G387" s="8"/>
      <c r="H387" s="8"/>
      <c r="I387" s="8"/>
      <c r="J387" s="8"/>
      <c r="K387" s="8"/>
      <c r="L387" s="8"/>
      <c r="M387" s="9"/>
    </row>
    <row r="388" spans="1:13">
      <c r="A388" s="42">
        <v>20</v>
      </c>
      <c r="B388" s="7"/>
      <c r="C388" s="8"/>
      <c r="D388" s="8"/>
      <c r="E388" s="8"/>
      <c r="F388" s="8"/>
      <c r="G388" s="8"/>
      <c r="H388" s="8"/>
      <c r="I388" s="8"/>
      <c r="J388" s="8"/>
      <c r="K388" s="8"/>
      <c r="L388" s="8"/>
      <c r="M388" s="9"/>
    </row>
    <row r="389" spans="1:13">
      <c r="A389" s="42">
        <v>21</v>
      </c>
      <c r="B389" s="7"/>
      <c r="C389" s="8"/>
      <c r="D389" s="8"/>
      <c r="E389" s="8"/>
      <c r="F389" s="8"/>
      <c r="G389" s="8"/>
      <c r="H389" s="8"/>
      <c r="I389" s="8"/>
      <c r="J389" s="8"/>
      <c r="K389" s="8"/>
      <c r="L389" s="8"/>
      <c r="M389" s="9"/>
    </row>
    <row r="390" spans="1:13">
      <c r="A390" s="42">
        <v>22</v>
      </c>
      <c r="B390" s="7"/>
      <c r="C390" s="8"/>
      <c r="D390" s="8"/>
      <c r="E390" s="8"/>
      <c r="F390" s="8"/>
      <c r="G390" s="8"/>
      <c r="H390" s="8"/>
      <c r="I390" s="8"/>
      <c r="J390" s="8"/>
      <c r="K390" s="8"/>
      <c r="L390" s="8"/>
      <c r="M390" s="9"/>
    </row>
    <row r="391" spans="1:13">
      <c r="A391" s="42">
        <v>23</v>
      </c>
      <c r="B391" s="7"/>
      <c r="C391" s="8"/>
      <c r="D391" s="8"/>
      <c r="E391" s="8"/>
      <c r="F391" s="8"/>
      <c r="G391" s="8"/>
      <c r="H391" s="8"/>
      <c r="I391" s="8"/>
      <c r="J391" s="8"/>
      <c r="K391" s="8"/>
      <c r="L391" s="8"/>
      <c r="M391" s="9"/>
    </row>
    <row r="392" spans="1:13">
      <c r="A392" s="42">
        <v>24</v>
      </c>
      <c r="B392" s="7"/>
      <c r="C392" s="8"/>
      <c r="D392" s="8"/>
      <c r="E392" s="8"/>
      <c r="F392" s="8"/>
      <c r="G392" s="8"/>
      <c r="H392" s="8"/>
      <c r="I392" s="8"/>
      <c r="J392" s="8"/>
      <c r="K392" s="8"/>
      <c r="L392" s="8"/>
      <c r="M392" s="9"/>
    </row>
    <row r="393" spans="1:13">
      <c r="A393" s="42">
        <v>25</v>
      </c>
      <c r="B393" s="7"/>
      <c r="C393" s="8"/>
      <c r="D393" s="8"/>
      <c r="E393" s="8"/>
      <c r="F393" s="8"/>
      <c r="G393" s="8"/>
      <c r="H393" s="8"/>
      <c r="I393" s="8"/>
      <c r="J393" s="8"/>
      <c r="K393" s="8"/>
      <c r="L393" s="8"/>
      <c r="M393" s="9"/>
    </row>
    <row r="394" spans="1:13">
      <c r="A394" s="42">
        <v>26</v>
      </c>
      <c r="B394" s="7"/>
      <c r="C394" s="8"/>
      <c r="D394" s="8"/>
      <c r="E394" s="8"/>
      <c r="F394" s="8"/>
      <c r="G394" s="8"/>
      <c r="H394" s="8"/>
      <c r="I394" s="8"/>
      <c r="J394" s="8"/>
      <c r="K394" s="8"/>
      <c r="L394" s="8"/>
      <c r="M394" s="9"/>
    </row>
    <row r="395" spans="1:13">
      <c r="A395" s="42">
        <v>27</v>
      </c>
      <c r="B395" s="7"/>
      <c r="C395" s="8"/>
      <c r="D395" s="8"/>
      <c r="E395" s="8"/>
      <c r="F395" s="8"/>
      <c r="G395" s="8"/>
      <c r="H395" s="8"/>
      <c r="I395" s="8"/>
      <c r="J395" s="8"/>
      <c r="K395" s="8"/>
      <c r="L395" s="8"/>
      <c r="M395" s="9"/>
    </row>
    <row r="396" spans="1:13">
      <c r="A396" s="42">
        <v>28</v>
      </c>
      <c r="B396" s="7"/>
      <c r="C396" s="8"/>
      <c r="D396" s="8"/>
      <c r="E396" s="8"/>
      <c r="F396" s="8"/>
      <c r="G396" s="8"/>
      <c r="H396" s="8"/>
      <c r="I396" s="8"/>
      <c r="J396" s="8"/>
      <c r="K396" s="8"/>
      <c r="L396" s="8"/>
      <c r="M396" s="9"/>
    </row>
    <row r="397" spans="1:13">
      <c r="A397" s="42">
        <v>29</v>
      </c>
      <c r="B397" s="7"/>
      <c r="C397" s="8"/>
      <c r="D397" s="8"/>
      <c r="E397" s="8"/>
      <c r="F397" s="8"/>
      <c r="G397" s="8"/>
      <c r="H397" s="8"/>
      <c r="I397" s="8"/>
      <c r="J397" s="8"/>
      <c r="K397" s="8"/>
      <c r="L397" s="8"/>
      <c r="M397" s="9"/>
    </row>
    <row r="398" spans="1:13">
      <c r="A398" s="42">
        <v>30</v>
      </c>
      <c r="B398" s="7"/>
      <c r="C398" s="8"/>
      <c r="D398" s="8"/>
      <c r="E398" s="8"/>
      <c r="F398" s="8"/>
      <c r="G398" s="8"/>
      <c r="H398" s="8"/>
      <c r="I398" s="8"/>
      <c r="J398" s="8"/>
      <c r="K398" s="8"/>
      <c r="L398" s="8"/>
      <c r="M398" s="9"/>
    </row>
    <row r="399" spans="1:13">
      <c r="A399" s="43">
        <v>31</v>
      </c>
      <c r="B399" s="10"/>
      <c r="C399" s="11"/>
      <c r="D399" s="11"/>
      <c r="E399" s="11"/>
      <c r="F399" s="11"/>
      <c r="G399" s="11"/>
      <c r="H399" s="11"/>
      <c r="I399" s="11"/>
      <c r="J399" s="11"/>
      <c r="K399" s="11"/>
      <c r="L399" s="11"/>
      <c r="M399" s="12"/>
    </row>
    <row r="401" spans="1:13" ht="15.75">
      <c r="A401" s="72" t="s">
        <v>29</v>
      </c>
      <c r="B401" s="72"/>
      <c r="C401" s="72"/>
      <c r="D401" s="72"/>
      <c r="E401" s="72"/>
      <c r="F401" s="72"/>
      <c r="G401" s="72"/>
      <c r="H401" s="72"/>
      <c r="I401" s="72"/>
      <c r="J401" s="72"/>
      <c r="K401" s="72"/>
      <c r="L401" s="72"/>
      <c r="M401" s="72"/>
    </row>
    <row r="402" spans="1:13">
      <c r="B402" s="57" t="s">
        <v>17</v>
      </c>
      <c r="C402" s="58" t="s">
        <v>18</v>
      </c>
      <c r="D402" s="58" t="s">
        <v>19</v>
      </c>
      <c r="E402" s="58" t="s">
        <v>20</v>
      </c>
      <c r="F402" s="58" t="s">
        <v>21</v>
      </c>
      <c r="G402" s="58" t="s">
        <v>22</v>
      </c>
      <c r="H402" s="58" t="s">
        <v>23</v>
      </c>
      <c r="I402" s="58" t="s">
        <v>24</v>
      </c>
      <c r="J402" s="58" t="s">
        <v>25</v>
      </c>
      <c r="K402" s="58" t="s">
        <v>26</v>
      </c>
      <c r="L402" s="58" t="s">
        <v>27</v>
      </c>
      <c r="M402" s="59" t="s">
        <v>28</v>
      </c>
    </row>
    <row r="403" spans="1:13">
      <c r="A403" s="41" t="s">
        <v>3</v>
      </c>
      <c r="B403" s="4">
        <f>COUNTIF($B$368:$B$399,"Anchor")</f>
        <v>0</v>
      </c>
      <c r="C403" s="5">
        <f>COUNTIF($C$368:$C$399,"Anchor")</f>
        <v>0</v>
      </c>
      <c r="D403" s="5">
        <f>COUNTIF($D$368:$D$399,"Anchor")</f>
        <v>0</v>
      </c>
      <c r="E403" s="5">
        <f>COUNTIF($E$368:$E$399,"Anchor")</f>
        <v>0</v>
      </c>
      <c r="F403" s="5">
        <f>COUNTIF($F$368:$F$399,"Anchor")</f>
        <v>0</v>
      </c>
      <c r="G403" s="5">
        <f>COUNTIF($G$368:$G$399,"Anchor")</f>
        <v>0</v>
      </c>
      <c r="H403" s="5">
        <f>COUNTIF($H$368:$H$399,"Anchor")</f>
        <v>0</v>
      </c>
      <c r="I403" s="5">
        <f>COUNTIF($I$368:$I$399,"Anchor")</f>
        <v>0</v>
      </c>
      <c r="J403" s="5">
        <f>COUNTIF($J$368:$J$399,"Anchor")</f>
        <v>0</v>
      </c>
      <c r="K403" s="5">
        <f>COUNTIF($K$368:$K$399,"Anchor")</f>
        <v>0</v>
      </c>
      <c r="L403" s="5">
        <f>COUNTIF($L$368:$L$399,"Anchor")</f>
        <v>0</v>
      </c>
      <c r="M403" s="6">
        <f>COUNTIF($M$368:$M$399,"Anchor")</f>
        <v>0</v>
      </c>
    </row>
    <row r="404" spans="1:13">
      <c r="A404" s="42" t="s">
        <v>1</v>
      </c>
      <c r="B404" s="7">
        <f>COUNTIF($B$368:$B$399,"At Sea")</f>
        <v>0</v>
      </c>
      <c r="C404" s="8">
        <f>COUNTIF($C$368:$C$399,"At Sea")</f>
        <v>0</v>
      </c>
      <c r="D404" s="8">
        <f>COUNTIF($D$368:$D$399,"At Sea")</f>
        <v>0</v>
      </c>
      <c r="E404" s="8">
        <f>COUNTIF($E$368:$E$399,"At Sea")</f>
        <v>0</v>
      </c>
      <c r="F404" s="8">
        <f>COUNTIF($F$368:$F$399,"At Sea")</f>
        <v>0</v>
      </c>
      <c r="G404" s="8">
        <f>COUNTIF($G$368:$G$399,"At Sea")</f>
        <v>0</v>
      </c>
      <c r="H404" s="8">
        <f>COUNTIF($H$368:$H$399,"At Sea")</f>
        <v>0</v>
      </c>
      <c r="I404" s="8">
        <f>COUNTIF($I$368:$I$399,"At Sea")</f>
        <v>0</v>
      </c>
      <c r="J404" s="8">
        <f>COUNTIF($J$368:$J$399,"At Sea")</f>
        <v>0</v>
      </c>
      <c r="K404" s="8">
        <f>COUNTIF($K$368:$K$399,"At Sea")</f>
        <v>0</v>
      </c>
      <c r="L404" s="8">
        <f>COUNTIF($L$368:$L$399,"At Sea")</f>
        <v>0</v>
      </c>
      <c r="M404" s="9">
        <f>COUNTIF($M$368:$M$399,"At Sea")</f>
        <v>0</v>
      </c>
    </row>
    <row r="405" spans="1:13">
      <c r="A405" s="42" t="s">
        <v>2</v>
      </c>
      <c r="B405" s="7">
        <f>COUNTIF($B$368:$B$399,"On Dock")</f>
        <v>0</v>
      </c>
      <c r="C405" s="8">
        <f>COUNTIF($C$368:$C$399,"On Dock")</f>
        <v>0</v>
      </c>
      <c r="D405" s="8">
        <f>COUNTIF($D$368:$D$399,"On Dock")</f>
        <v>0</v>
      </c>
      <c r="E405" s="8">
        <f>COUNTIF($E$368:$E$399,"On Dock")</f>
        <v>0</v>
      </c>
      <c r="F405" s="8">
        <f>COUNTIF($F$368:$F$399,"On Dock")</f>
        <v>0</v>
      </c>
      <c r="G405" s="8">
        <f>COUNTIF($G$368:$G$399,"On Dock")</f>
        <v>0</v>
      </c>
      <c r="H405" s="8">
        <f>COUNTIF($H$368:$H$399,"On Dock")</f>
        <v>0</v>
      </c>
      <c r="I405" s="8">
        <f>COUNTIF($I$368:$I$399,"On Dock")</f>
        <v>0</v>
      </c>
      <c r="J405" s="8">
        <f>COUNTIF($J$368:$J$399,"On Dock")</f>
        <v>0</v>
      </c>
      <c r="K405" s="8">
        <f>COUNTIF($K$368:$K$399,"On Dock")</f>
        <v>0</v>
      </c>
      <c r="L405" s="8">
        <f>COUNTIF($L$368:$L$399,"On Dock")</f>
        <v>0</v>
      </c>
      <c r="M405" s="9">
        <f>COUNTIF($M$368:$M$399,"On Dock")</f>
        <v>0</v>
      </c>
    </row>
    <row r="406" spans="1:13">
      <c r="A406" s="42" t="s">
        <v>51</v>
      </c>
      <c r="B406" s="7">
        <f>COUNTIF($B$368:$B$399,"Standby")</f>
        <v>0</v>
      </c>
      <c r="C406" s="8">
        <f>COUNTIF($C$368:$C$399,"Standby")</f>
        <v>0</v>
      </c>
      <c r="D406" s="8">
        <f>COUNTIF($D$368:$D$399,"Standby")</f>
        <v>0</v>
      </c>
      <c r="E406" s="8">
        <f>COUNTIF($E$368:$E$399,"Standby")</f>
        <v>0</v>
      </c>
      <c r="F406" s="8">
        <f>COUNTIF($F$368:$F$399,"Standby")</f>
        <v>0</v>
      </c>
      <c r="G406" s="8">
        <f>COUNTIF($G$368:$G$399,"Standby")</f>
        <v>0</v>
      </c>
      <c r="H406" s="8">
        <f>COUNTIF($H$368:$H$399,"Standby")</f>
        <v>0</v>
      </c>
      <c r="I406" s="8">
        <f>COUNTIF($I$368:$I$399,"Standby")</f>
        <v>0</v>
      </c>
      <c r="J406" s="8">
        <f>COUNTIF($J$368:$J$399,"Standby")</f>
        <v>0</v>
      </c>
      <c r="K406" s="8">
        <f>COUNTIF($K$368:$K$399,"Standby")</f>
        <v>0</v>
      </c>
      <c r="L406" s="8">
        <f>COUNTIF($L$368:$L$399,"Standby")</f>
        <v>0</v>
      </c>
      <c r="M406" s="9">
        <f>COUNTIF($M$368:$M$399,"Standby")</f>
        <v>0</v>
      </c>
    </row>
    <row r="407" spans="1:13">
      <c r="A407" s="42" t="s">
        <v>4</v>
      </c>
      <c r="B407" s="7">
        <f>COUNTIF($B$368:$B$399,"Yard")</f>
        <v>0</v>
      </c>
      <c r="C407" s="8">
        <f>COUNTIF($C$368:$C$399,"Yard")</f>
        <v>0</v>
      </c>
      <c r="D407" s="8">
        <f>COUNTIF($D$368:$D$399,"Yard")</f>
        <v>0</v>
      </c>
      <c r="E407" s="8">
        <f>COUNTIF($E$368:$E$399,"Yard")</f>
        <v>0</v>
      </c>
      <c r="F407" s="8">
        <f>COUNTIF($F$368:$F$399,"Yard")</f>
        <v>0</v>
      </c>
      <c r="G407" s="8">
        <f>COUNTIF($G$368:$G$399,"Yard")</f>
        <v>0</v>
      </c>
      <c r="H407" s="8">
        <f>COUNTIF($H$368:$H$399,"Yard")</f>
        <v>0</v>
      </c>
      <c r="I407" s="8">
        <f>COUNTIF($I$368:$I$399,"Yard")</f>
        <v>0</v>
      </c>
      <c r="J407" s="8">
        <f>COUNTIF($J$368:$J$399,"Yard")</f>
        <v>0</v>
      </c>
      <c r="K407" s="8">
        <f>COUNTIF($K$368:$K$399,"Yard")</f>
        <v>0</v>
      </c>
      <c r="L407" s="8">
        <f>COUNTIF($L$368:$L$399,"Yard")</f>
        <v>0</v>
      </c>
      <c r="M407" s="9">
        <f>COUNTIF($M$368:$M$399,"Yard")</f>
        <v>0</v>
      </c>
    </row>
    <row r="408" spans="1:13">
      <c r="A408" s="42" t="s">
        <v>5</v>
      </c>
      <c r="B408" s="7">
        <f>COUNTIF($B$368:$B$399,"Holiday")</f>
        <v>0</v>
      </c>
      <c r="C408" s="8">
        <f>COUNTIF($C$368:$C$399,"Holiday")</f>
        <v>0</v>
      </c>
      <c r="D408" s="8">
        <f>COUNTIF($D$368:$D$399,"Holiday")</f>
        <v>0</v>
      </c>
      <c r="E408" s="8">
        <f>COUNTIF($E$368:$E$399,"Holiday")</f>
        <v>0</v>
      </c>
      <c r="F408" s="8">
        <f>COUNTIF($F$368:$F$399,"Holiday")</f>
        <v>0</v>
      </c>
      <c r="G408" s="8">
        <f>COUNTIF($G$368:$G$399,"Holiday")</f>
        <v>0</v>
      </c>
      <c r="H408" s="8">
        <f>COUNTIF($H$368:$H$399,"Holiday")</f>
        <v>0</v>
      </c>
      <c r="I408" s="8">
        <f>COUNTIF($I$368:$I$399,"Holiday")</f>
        <v>0</v>
      </c>
      <c r="J408" s="8">
        <f>COUNTIF($J$368:$J$399,"Holiday")</f>
        <v>0</v>
      </c>
      <c r="K408" s="8">
        <f>COUNTIF($K$368:$K$399,"Holiday")</f>
        <v>0</v>
      </c>
      <c r="L408" s="8">
        <f>COUNTIF($L$368:$L$399,"Holiday")</f>
        <v>0</v>
      </c>
      <c r="M408" s="9">
        <f>COUNTIF($M$368:$M$399,"Holiday")</f>
        <v>0</v>
      </c>
    </row>
    <row r="409" spans="1:13">
      <c r="A409" s="42" t="s">
        <v>6</v>
      </c>
      <c r="B409" s="7">
        <f>COUNTIF($B$368:$B$399,"Sick")</f>
        <v>0</v>
      </c>
      <c r="C409" s="8">
        <f>COUNTIF($C$368:$C$399,"Sick")</f>
        <v>0</v>
      </c>
      <c r="D409" s="8">
        <f>COUNTIF($D$368:$D$399,"Sick")</f>
        <v>0</v>
      </c>
      <c r="E409" s="8">
        <f>COUNTIF($E$368:$E$399,"Sick")</f>
        <v>0</v>
      </c>
      <c r="F409" s="8">
        <f>COUNTIF($F$368:$F$399,"Sick")</f>
        <v>0</v>
      </c>
      <c r="G409" s="8">
        <f>COUNTIF($G$368:$G$399,"Sick")</f>
        <v>0</v>
      </c>
      <c r="H409" s="8">
        <f>COUNTIF($H$368:$H$399,"Sick")</f>
        <v>0</v>
      </c>
      <c r="I409" s="8">
        <f>COUNTIF($I$368:$I$399,"Sick")</f>
        <v>0</v>
      </c>
      <c r="J409" s="8">
        <f>COUNTIF($J$368:$J$399,"Sick")</f>
        <v>0</v>
      </c>
      <c r="K409" s="8">
        <f>COUNTIF($K$368:$K$399,"Sick")</f>
        <v>0</v>
      </c>
      <c r="L409" s="8">
        <f>COUNTIF($L$368:$L$399,"Sick")</f>
        <v>0</v>
      </c>
      <c r="M409" s="9">
        <f>COUNTIF($M$368:$M$399,"Sick")</f>
        <v>0</v>
      </c>
    </row>
    <row r="410" spans="1:13">
      <c r="A410" s="43" t="s">
        <v>7</v>
      </c>
      <c r="B410" s="10">
        <f>COUNTIF($B$368:$B$399,"Study")</f>
        <v>0</v>
      </c>
      <c r="C410" s="11">
        <f>COUNTIF($C$368:$C$399,"Study")</f>
        <v>0</v>
      </c>
      <c r="D410" s="11">
        <f>COUNTIF($D$368:$D$399,"Study")</f>
        <v>0</v>
      </c>
      <c r="E410" s="11">
        <f>COUNTIF($E$368:$E$399,"Study")</f>
        <v>0</v>
      </c>
      <c r="F410" s="11">
        <f>COUNTIF($F$368:$F$399,"Study")</f>
        <v>0</v>
      </c>
      <c r="G410" s="11">
        <f>COUNTIF($G$368:$G$399,"Study")</f>
        <v>0</v>
      </c>
      <c r="H410" s="11">
        <f>COUNTIF($H$368:$H$399,"Study")</f>
        <v>0</v>
      </c>
      <c r="I410" s="11">
        <f>COUNTIF($I$368:$I$399,"Study")</f>
        <v>0</v>
      </c>
      <c r="J410" s="11">
        <f>COUNTIF($J$368:$J$399,"Study")</f>
        <v>0</v>
      </c>
      <c r="K410" s="11">
        <f>COUNTIF($K$368:$K$399,"Study")</f>
        <v>0</v>
      </c>
      <c r="L410" s="11">
        <f>COUNTIF($L$368:$L$399,"Study")</f>
        <v>0</v>
      </c>
      <c r="M410" s="12">
        <f>COUNTIF($M$368:$M$399,"Study")</f>
        <v>0</v>
      </c>
    </row>
    <row r="411" spans="1:13" ht="15.75" thickBot="1"/>
    <row r="412" spans="1:13" ht="18.75" thickBot="1">
      <c r="A412" s="69" t="s">
        <v>37</v>
      </c>
      <c r="B412" s="70"/>
      <c r="C412" s="70"/>
      <c r="D412" s="70"/>
      <c r="E412" s="70"/>
      <c r="F412" s="70"/>
      <c r="G412" s="70"/>
      <c r="H412" s="70"/>
      <c r="I412" s="70"/>
      <c r="J412" s="70"/>
      <c r="K412" s="70"/>
      <c r="L412" s="70"/>
      <c r="M412" s="71"/>
    </row>
    <row r="414" spans="1:13">
      <c r="B414" s="57" t="s">
        <v>17</v>
      </c>
      <c r="C414" s="58" t="s">
        <v>18</v>
      </c>
      <c r="D414" s="58" t="s">
        <v>19</v>
      </c>
      <c r="E414" s="58" t="s">
        <v>20</v>
      </c>
      <c r="F414" s="58" t="s">
        <v>21</v>
      </c>
      <c r="G414" s="58" t="s">
        <v>22</v>
      </c>
      <c r="H414" s="58" t="s">
        <v>23</v>
      </c>
      <c r="I414" s="58" t="s">
        <v>24</v>
      </c>
      <c r="J414" s="58" t="s">
        <v>25</v>
      </c>
      <c r="K414" s="58" t="s">
        <v>26</v>
      </c>
      <c r="L414" s="58" t="s">
        <v>27</v>
      </c>
      <c r="M414" s="59" t="s">
        <v>28</v>
      </c>
    </row>
    <row r="415" spans="1:13">
      <c r="A415" s="41">
        <v>1</v>
      </c>
      <c r="B415" s="4"/>
      <c r="C415" s="5"/>
      <c r="D415" s="5"/>
      <c r="E415" s="5"/>
      <c r="F415" s="5"/>
      <c r="G415" s="5"/>
      <c r="H415" s="5"/>
      <c r="I415" s="5"/>
      <c r="J415" s="5"/>
      <c r="K415" s="5"/>
      <c r="L415" s="5"/>
      <c r="M415" s="6"/>
    </row>
    <row r="416" spans="1:13">
      <c r="A416" s="42">
        <v>2</v>
      </c>
      <c r="B416" s="7"/>
      <c r="C416" s="8"/>
      <c r="D416" s="8"/>
      <c r="E416" s="8"/>
      <c r="F416" s="8"/>
      <c r="G416" s="8"/>
      <c r="H416" s="8"/>
      <c r="I416" s="8"/>
      <c r="J416" s="8"/>
      <c r="K416" s="8"/>
      <c r="L416" s="8"/>
      <c r="M416" s="9"/>
    </row>
    <row r="417" spans="1:13">
      <c r="A417" s="42">
        <v>3</v>
      </c>
      <c r="B417" s="7"/>
      <c r="C417" s="8"/>
      <c r="D417" s="8"/>
      <c r="E417" s="8"/>
      <c r="F417" s="8"/>
      <c r="G417" s="8"/>
      <c r="H417" s="8"/>
      <c r="I417" s="8"/>
      <c r="J417" s="8"/>
      <c r="K417" s="8"/>
      <c r="L417" s="8"/>
      <c r="M417" s="9"/>
    </row>
    <row r="418" spans="1:13">
      <c r="A418" s="42">
        <v>4</v>
      </c>
      <c r="B418" s="7"/>
      <c r="C418" s="8"/>
      <c r="D418" s="8"/>
      <c r="E418" s="8"/>
      <c r="F418" s="8"/>
      <c r="G418" s="8"/>
      <c r="H418" s="8"/>
      <c r="I418" s="8"/>
      <c r="J418" s="8"/>
      <c r="K418" s="8"/>
      <c r="L418" s="8"/>
      <c r="M418" s="9"/>
    </row>
    <row r="419" spans="1:13">
      <c r="A419" s="42">
        <v>5</v>
      </c>
      <c r="B419" s="7"/>
      <c r="C419" s="8"/>
      <c r="D419" s="8"/>
      <c r="E419" s="8"/>
      <c r="F419" s="8"/>
      <c r="G419" s="8"/>
      <c r="H419" s="8"/>
      <c r="I419" s="8"/>
      <c r="J419" s="8"/>
      <c r="K419" s="8"/>
      <c r="L419" s="8"/>
      <c r="M419" s="9"/>
    </row>
    <row r="420" spans="1:13">
      <c r="A420" s="42">
        <v>6</v>
      </c>
      <c r="B420" s="7"/>
      <c r="C420" s="8"/>
      <c r="D420" s="8"/>
      <c r="E420" s="8"/>
      <c r="F420" s="8"/>
      <c r="G420" s="8"/>
      <c r="H420" s="8"/>
      <c r="I420" s="8"/>
      <c r="J420" s="8"/>
      <c r="K420" s="8"/>
      <c r="L420" s="8"/>
      <c r="M420" s="9"/>
    </row>
    <row r="421" spans="1:13">
      <c r="A421" s="42">
        <v>7</v>
      </c>
      <c r="B421" s="7"/>
      <c r="C421" s="8"/>
      <c r="D421" s="8"/>
      <c r="E421" s="8"/>
      <c r="F421" s="8"/>
      <c r="G421" s="8"/>
      <c r="H421" s="8"/>
      <c r="I421" s="8"/>
      <c r="J421" s="8"/>
      <c r="K421" s="8"/>
      <c r="L421" s="8"/>
      <c r="M421" s="9"/>
    </row>
    <row r="422" spans="1:13">
      <c r="A422" s="42">
        <v>8</v>
      </c>
      <c r="B422" s="7"/>
      <c r="C422" s="8"/>
      <c r="D422" s="8"/>
      <c r="E422" s="8"/>
      <c r="F422" s="8"/>
      <c r="G422" s="8"/>
      <c r="H422" s="8"/>
      <c r="I422" s="8"/>
      <c r="J422" s="8"/>
      <c r="K422" s="8"/>
      <c r="L422" s="8"/>
      <c r="M422" s="9"/>
    </row>
    <row r="423" spans="1:13">
      <c r="A423" s="42">
        <v>9</v>
      </c>
      <c r="B423" s="7"/>
      <c r="C423" s="8"/>
      <c r="D423" s="8"/>
      <c r="E423" s="8"/>
      <c r="F423" s="8"/>
      <c r="G423" s="8"/>
      <c r="H423" s="8"/>
      <c r="I423" s="8"/>
      <c r="J423" s="8"/>
      <c r="K423" s="8"/>
      <c r="L423" s="8"/>
      <c r="M423" s="9"/>
    </row>
    <row r="424" spans="1:13">
      <c r="A424" s="42">
        <v>10</v>
      </c>
      <c r="B424" s="7"/>
      <c r="C424" s="8"/>
      <c r="D424" s="8"/>
      <c r="E424" s="8"/>
      <c r="F424" s="8"/>
      <c r="G424" s="8"/>
      <c r="H424" s="8"/>
      <c r="I424" s="8"/>
      <c r="J424" s="8"/>
      <c r="K424" s="8"/>
      <c r="L424" s="8"/>
      <c r="M424" s="9"/>
    </row>
    <row r="425" spans="1:13">
      <c r="A425" s="42">
        <v>11</v>
      </c>
      <c r="B425" s="7"/>
      <c r="C425" s="8"/>
      <c r="D425" s="8"/>
      <c r="E425" s="8"/>
      <c r="F425" s="8"/>
      <c r="G425" s="8"/>
      <c r="H425" s="8"/>
      <c r="I425" s="8"/>
      <c r="J425" s="8"/>
      <c r="K425" s="8"/>
      <c r="L425" s="8"/>
      <c r="M425" s="9"/>
    </row>
    <row r="426" spans="1:13">
      <c r="A426" s="42">
        <v>12</v>
      </c>
      <c r="B426" s="7"/>
      <c r="C426" s="8"/>
      <c r="D426" s="8"/>
      <c r="E426" s="8"/>
      <c r="F426" s="8"/>
      <c r="G426" s="8"/>
      <c r="H426" s="8"/>
      <c r="I426" s="8"/>
      <c r="J426" s="8"/>
      <c r="K426" s="8"/>
      <c r="L426" s="8"/>
      <c r="M426" s="9"/>
    </row>
    <row r="427" spans="1:13">
      <c r="A427" s="42">
        <v>13</v>
      </c>
      <c r="B427" s="7"/>
      <c r="C427" s="8"/>
      <c r="D427" s="8"/>
      <c r="E427" s="8"/>
      <c r="F427" s="8"/>
      <c r="G427" s="8"/>
      <c r="H427" s="8"/>
      <c r="I427" s="8"/>
      <c r="J427" s="8"/>
      <c r="K427" s="8"/>
      <c r="L427" s="8"/>
      <c r="M427" s="9"/>
    </row>
    <row r="428" spans="1:13">
      <c r="A428" s="42">
        <v>14</v>
      </c>
      <c r="B428" s="7"/>
      <c r="C428" s="8"/>
      <c r="D428" s="8"/>
      <c r="E428" s="8"/>
      <c r="F428" s="8"/>
      <c r="G428" s="8"/>
      <c r="H428" s="8"/>
      <c r="I428" s="8"/>
      <c r="J428" s="8"/>
      <c r="K428" s="8"/>
      <c r="L428" s="8"/>
      <c r="M428" s="9"/>
    </row>
    <row r="429" spans="1:13">
      <c r="A429" s="42">
        <v>15</v>
      </c>
      <c r="B429" s="7"/>
      <c r="C429" s="8"/>
      <c r="D429" s="8"/>
      <c r="E429" s="8"/>
      <c r="F429" s="8"/>
      <c r="G429" s="8"/>
      <c r="H429" s="8"/>
      <c r="I429" s="8"/>
      <c r="J429" s="8"/>
      <c r="K429" s="8"/>
      <c r="L429" s="8"/>
      <c r="M429" s="9"/>
    </row>
    <row r="430" spans="1:13">
      <c r="A430" s="42">
        <v>16</v>
      </c>
      <c r="B430" s="7"/>
      <c r="C430" s="8"/>
      <c r="D430" s="8"/>
      <c r="E430" s="8"/>
      <c r="F430" s="8"/>
      <c r="G430" s="8"/>
      <c r="H430" s="8"/>
      <c r="I430" s="8"/>
      <c r="J430" s="8"/>
      <c r="K430" s="8"/>
      <c r="L430" s="8"/>
      <c r="M430" s="9"/>
    </row>
    <row r="431" spans="1:13">
      <c r="A431" s="42">
        <v>17</v>
      </c>
      <c r="B431" s="7"/>
      <c r="C431" s="8"/>
      <c r="D431" s="8"/>
      <c r="E431" s="8"/>
      <c r="F431" s="8"/>
      <c r="G431" s="8"/>
      <c r="H431" s="8"/>
      <c r="I431" s="8"/>
      <c r="J431" s="8"/>
      <c r="K431" s="8"/>
      <c r="L431" s="8"/>
      <c r="M431" s="9"/>
    </row>
    <row r="432" spans="1:13">
      <c r="A432" s="42">
        <v>18</v>
      </c>
      <c r="B432" s="7"/>
      <c r="C432" s="8"/>
      <c r="D432" s="8"/>
      <c r="E432" s="8"/>
      <c r="F432" s="8"/>
      <c r="G432" s="8"/>
      <c r="H432" s="8"/>
      <c r="I432" s="8"/>
      <c r="J432" s="8"/>
      <c r="K432" s="8"/>
      <c r="L432" s="8"/>
      <c r="M432" s="9"/>
    </row>
    <row r="433" spans="1:13">
      <c r="A433" s="42">
        <v>19</v>
      </c>
      <c r="B433" s="7"/>
      <c r="C433" s="8"/>
      <c r="D433" s="8"/>
      <c r="E433" s="8"/>
      <c r="F433" s="8"/>
      <c r="G433" s="8"/>
      <c r="H433" s="8"/>
      <c r="I433" s="8"/>
      <c r="J433" s="8"/>
      <c r="K433" s="8"/>
      <c r="L433" s="8"/>
      <c r="M433" s="9"/>
    </row>
    <row r="434" spans="1:13">
      <c r="A434" s="42">
        <v>20</v>
      </c>
      <c r="B434" s="7"/>
      <c r="C434" s="8"/>
      <c r="D434" s="8"/>
      <c r="E434" s="8"/>
      <c r="F434" s="8"/>
      <c r="G434" s="8"/>
      <c r="H434" s="8"/>
      <c r="I434" s="8"/>
      <c r="J434" s="8"/>
      <c r="K434" s="8"/>
      <c r="L434" s="8"/>
      <c r="M434" s="9"/>
    </row>
    <row r="435" spans="1:13">
      <c r="A435" s="42">
        <v>21</v>
      </c>
      <c r="B435" s="7"/>
      <c r="C435" s="8"/>
      <c r="D435" s="8"/>
      <c r="E435" s="8"/>
      <c r="F435" s="8"/>
      <c r="G435" s="8"/>
      <c r="H435" s="8"/>
      <c r="I435" s="8"/>
      <c r="J435" s="8"/>
      <c r="K435" s="8"/>
      <c r="L435" s="8"/>
      <c r="M435" s="9"/>
    </row>
    <row r="436" spans="1:13">
      <c r="A436" s="42">
        <v>22</v>
      </c>
      <c r="B436" s="7"/>
      <c r="C436" s="8"/>
      <c r="D436" s="8"/>
      <c r="E436" s="8"/>
      <c r="F436" s="8"/>
      <c r="G436" s="8"/>
      <c r="H436" s="8"/>
      <c r="I436" s="8"/>
      <c r="J436" s="8"/>
      <c r="K436" s="8"/>
      <c r="L436" s="8"/>
      <c r="M436" s="9"/>
    </row>
    <row r="437" spans="1:13">
      <c r="A437" s="42">
        <v>23</v>
      </c>
      <c r="B437" s="7"/>
      <c r="C437" s="8"/>
      <c r="D437" s="8"/>
      <c r="E437" s="8"/>
      <c r="F437" s="8"/>
      <c r="G437" s="8"/>
      <c r="H437" s="8"/>
      <c r="I437" s="8"/>
      <c r="J437" s="8"/>
      <c r="K437" s="8"/>
      <c r="L437" s="8"/>
      <c r="M437" s="9"/>
    </row>
    <row r="438" spans="1:13">
      <c r="A438" s="42">
        <v>24</v>
      </c>
      <c r="B438" s="7"/>
      <c r="C438" s="8"/>
      <c r="D438" s="8"/>
      <c r="E438" s="8"/>
      <c r="F438" s="8"/>
      <c r="G438" s="8"/>
      <c r="H438" s="8"/>
      <c r="I438" s="8"/>
      <c r="J438" s="8"/>
      <c r="K438" s="8"/>
      <c r="L438" s="8"/>
      <c r="M438" s="9"/>
    </row>
    <row r="439" spans="1:13">
      <c r="A439" s="42">
        <v>25</v>
      </c>
      <c r="B439" s="7"/>
      <c r="C439" s="8"/>
      <c r="D439" s="8"/>
      <c r="E439" s="8"/>
      <c r="F439" s="8"/>
      <c r="G439" s="8"/>
      <c r="H439" s="8"/>
      <c r="I439" s="8"/>
      <c r="J439" s="8"/>
      <c r="K439" s="8"/>
      <c r="L439" s="8"/>
      <c r="M439" s="9"/>
    </row>
    <row r="440" spans="1:13">
      <c r="A440" s="42">
        <v>26</v>
      </c>
      <c r="B440" s="7"/>
      <c r="C440" s="8"/>
      <c r="D440" s="8"/>
      <c r="E440" s="8"/>
      <c r="F440" s="8"/>
      <c r="G440" s="8"/>
      <c r="H440" s="8"/>
      <c r="I440" s="8"/>
      <c r="J440" s="8"/>
      <c r="K440" s="8"/>
      <c r="L440" s="8"/>
      <c r="M440" s="9"/>
    </row>
    <row r="441" spans="1:13">
      <c r="A441" s="42">
        <v>27</v>
      </c>
      <c r="B441" s="7"/>
      <c r="C441" s="8"/>
      <c r="D441" s="8"/>
      <c r="E441" s="8"/>
      <c r="F441" s="8"/>
      <c r="G441" s="8"/>
      <c r="H441" s="8"/>
      <c r="I441" s="8"/>
      <c r="J441" s="8"/>
      <c r="K441" s="8"/>
      <c r="L441" s="8"/>
      <c r="M441" s="9"/>
    </row>
    <row r="442" spans="1:13">
      <c r="A442" s="42">
        <v>28</v>
      </c>
      <c r="B442" s="7"/>
      <c r="C442" s="8"/>
      <c r="D442" s="8"/>
      <c r="E442" s="8"/>
      <c r="F442" s="8"/>
      <c r="G442" s="8"/>
      <c r="H442" s="8"/>
      <c r="I442" s="8"/>
      <c r="J442" s="8"/>
      <c r="K442" s="8"/>
      <c r="L442" s="8"/>
      <c r="M442" s="9"/>
    </row>
    <row r="443" spans="1:13">
      <c r="A443" s="42">
        <v>29</v>
      </c>
      <c r="B443" s="7"/>
      <c r="C443" s="8"/>
      <c r="D443" s="8"/>
      <c r="E443" s="8"/>
      <c r="F443" s="8"/>
      <c r="G443" s="8"/>
      <c r="H443" s="8"/>
      <c r="I443" s="8"/>
      <c r="J443" s="8"/>
      <c r="K443" s="8"/>
      <c r="L443" s="8"/>
      <c r="M443" s="9"/>
    </row>
    <row r="444" spans="1:13">
      <c r="A444" s="42">
        <v>30</v>
      </c>
      <c r="B444" s="7"/>
      <c r="C444" s="8"/>
      <c r="D444" s="8"/>
      <c r="E444" s="8"/>
      <c r="F444" s="8"/>
      <c r="G444" s="8"/>
      <c r="H444" s="8"/>
      <c r="I444" s="8"/>
      <c r="J444" s="8"/>
      <c r="K444" s="8"/>
      <c r="L444" s="8"/>
      <c r="M444" s="9"/>
    </row>
    <row r="445" spans="1:13">
      <c r="A445" s="43">
        <v>31</v>
      </c>
      <c r="B445" s="10"/>
      <c r="C445" s="11"/>
      <c r="D445" s="11"/>
      <c r="E445" s="11"/>
      <c r="F445" s="11"/>
      <c r="G445" s="11"/>
      <c r="H445" s="11"/>
      <c r="I445" s="11"/>
      <c r="J445" s="11"/>
      <c r="K445" s="11"/>
      <c r="L445" s="11"/>
      <c r="M445" s="12"/>
    </row>
    <row r="447" spans="1:13" ht="15.75">
      <c r="A447" s="72" t="s">
        <v>29</v>
      </c>
      <c r="B447" s="72"/>
      <c r="C447" s="72"/>
      <c r="D447" s="72"/>
      <c r="E447" s="72"/>
      <c r="F447" s="72"/>
      <c r="G447" s="72"/>
      <c r="H447" s="72"/>
      <c r="I447" s="72"/>
      <c r="J447" s="72"/>
      <c r="K447" s="72"/>
      <c r="L447" s="72"/>
      <c r="M447" s="72"/>
    </row>
    <row r="448" spans="1:13">
      <c r="B448" s="57" t="s">
        <v>17</v>
      </c>
      <c r="C448" s="58" t="s">
        <v>18</v>
      </c>
      <c r="D448" s="58" t="s">
        <v>19</v>
      </c>
      <c r="E448" s="58" t="s">
        <v>20</v>
      </c>
      <c r="F448" s="58" t="s">
        <v>21</v>
      </c>
      <c r="G448" s="58" t="s">
        <v>22</v>
      </c>
      <c r="H448" s="58" t="s">
        <v>23</v>
      </c>
      <c r="I448" s="58" t="s">
        <v>24</v>
      </c>
      <c r="J448" s="58" t="s">
        <v>25</v>
      </c>
      <c r="K448" s="58" t="s">
        <v>26</v>
      </c>
      <c r="L448" s="58" t="s">
        <v>27</v>
      </c>
      <c r="M448" s="59" t="s">
        <v>28</v>
      </c>
    </row>
    <row r="449" spans="1:13">
      <c r="A449" s="41" t="s">
        <v>3</v>
      </c>
      <c r="B449" s="4">
        <f>COUNTIF($B$414:$B$445,"Anchor")</f>
        <v>0</v>
      </c>
      <c r="C449" s="5">
        <f>COUNTIF($C$414:$C$445,"Anchor")</f>
        <v>0</v>
      </c>
      <c r="D449" s="5">
        <f>COUNTIF($D$414:$D$445,"Anchor")</f>
        <v>0</v>
      </c>
      <c r="E449" s="5">
        <f>COUNTIF($E$414:$E$445,"Anchor")</f>
        <v>0</v>
      </c>
      <c r="F449" s="5">
        <f>COUNTIF($F$414:$F$445,"Anchor")</f>
        <v>0</v>
      </c>
      <c r="G449" s="5">
        <f>COUNTIF($G$414:$G$445,"Anchor")</f>
        <v>0</v>
      </c>
      <c r="H449" s="5">
        <f>COUNTIF($H$414:$H$445,"Anchor")</f>
        <v>0</v>
      </c>
      <c r="I449" s="5">
        <f>COUNTIF($I$414:$I$445,"Anchor")</f>
        <v>0</v>
      </c>
      <c r="J449" s="5">
        <f>COUNTIF($J$414:$J$445,"Anchor")</f>
        <v>0</v>
      </c>
      <c r="K449" s="5">
        <f>COUNTIF($K$414:$K$445,"Anchor")</f>
        <v>0</v>
      </c>
      <c r="L449" s="5">
        <f>COUNTIF($L$414:$L$445,"Anchor")</f>
        <v>0</v>
      </c>
      <c r="M449" s="6">
        <f>COUNTIF($M$414:$M$445,"Anchor")</f>
        <v>0</v>
      </c>
    </row>
    <row r="450" spans="1:13">
      <c r="A450" s="42" t="s">
        <v>1</v>
      </c>
      <c r="B450" s="7">
        <f>COUNTIF($B$414:$B$445,"At Sea")</f>
        <v>0</v>
      </c>
      <c r="C450" s="8">
        <f>COUNTIF($C$414:$C$445,"At Sea")</f>
        <v>0</v>
      </c>
      <c r="D450" s="8">
        <f>COUNTIF($D$414:$D$445,"At Sea")</f>
        <v>0</v>
      </c>
      <c r="E450" s="8">
        <f>COUNTIF($E$414:$E$445,"At Sea")</f>
        <v>0</v>
      </c>
      <c r="F450" s="8">
        <f>COUNTIF($F$414:$F$445,"At Sea")</f>
        <v>0</v>
      </c>
      <c r="G450" s="8">
        <f>COUNTIF($G$414:$G$445,"At Sea")</f>
        <v>0</v>
      </c>
      <c r="H450" s="8">
        <f>COUNTIF($H$414:$H$445,"At Sea")</f>
        <v>0</v>
      </c>
      <c r="I450" s="8">
        <f>COUNTIF($I$414:$I$445,"At Sea")</f>
        <v>0</v>
      </c>
      <c r="J450" s="8">
        <f>COUNTIF($J$414:$J$445,"At Sea")</f>
        <v>0</v>
      </c>
      <c r="K450" s="8">
        <f>COUNTIF($K$414:$K$445,"At Sea")</f>
        <v>0</v>
      </c>
      <c r="L450" s="8">
        <f>COUNTIF($L$414:$L$445,"At Sea")</f>
        <v>0</v>
      </c>
      <c r="M450" s="9">
        <f>COUNTIF($M$414:$M$445,"At Sea")</f>
        <v>0</v>
      </c>
    </row>
    <row r="451" spans="1:13">
      <c r="A451" s="42" t="s">
        <v>2</v>
      </c>
      <c r="B451" s="7">
        <f>COUNTIF($B$414:$B$445,"On Dock")</f>
        <v>0</v>
      </c>
      <c r="C451" s="8">
        <f>COUNTIF($C$414:$C$445,"On Dock")</f>
        <v>0</v>
      </c>
      <c r="D451" s="8">
        <f>COUNTIF($D$414:$D$445,"On Dock")</f>
        <v>0</v>
      </c>
      <c r="E451" s="8">
        <f>COUNTIF($E$414:$E$445,"On Dock")</f>
        <v>0</v>
      </c>
      <c r="F451" s="8">
        <f>COUNTIF($F$414:$F$445,"On Dock")</f>
        <v>0</v>
      </c>
      <c r="G451" s="8">
        <f>COUNTIF($G$414:$G$445,"On Dock")</f>
        <v>0</v>
      </c>
      <c r="H451" s="8">
        <f>COUNTIF($H$414:$H$445,"On Dock")</f>
        <v>0</v>
      </c>
      <c r="I451" s="8">
        <f>COUNTIF($I$414:$I$445,"On Dock")</f>
        <v>0</v>
      </c>
      <c r="J451" s="8">
        <f>COUNTIF($J$414:$J$445,"On Dock")</f>
        <v>0</v>
      </c>
      <c r="K451" s="8">
        <f>COUNTIF($K$414:$K$445,"On Dock")</f>
        <v>0</v>
      </c>
      <c r="L451" s="8">
        <f>COUNTIF($L$414:$L$445,"On Dock")</f>
        <v>0</v>
      </c>
      <c r="M451" s="9">
        <f>COUNTIF($M$414:$M$445,"On Dock")</f>
        <v>0</v>
      </c>
    </row>
    <row r="452" spans="1:13">
      <c r="A452" s="42" t="s">
        <v>51</v>
      </c>
      <c r="B452" s="7">
        <f>COUNTIF($B$414:$B$445,"Standby")</f>
        <v>0</v>
      </c>
      <c r="C452" s="8">
        <f>COUNTIF($C$414:$C$445,"Standby")</f>
        <v>0</v>
      </c>
      <c r="D452" s="8">
        <f>COUNTIF($D$414:$D$445,"Standby")</f>
        <v>0</v>
      </c>
      <c r="E452" s="8">
        <f>COUNTIF($E$414:$E$445,"Standby")</f>
        <v>0</v>
      </c>
      <c r="F452" s="8">
        <f>COUNTIF($F$414:$F$445,"Standby")</f>
        <v>0</v>
      </c>
      <c r="G452" s="8">
        <f>COUNTIF($G$414:$G$445,"Standby")</f>
        <v>0</v>
      </c>
      <c r="H452" s="8">
        <f>COUNTIF($H$414:$H$445,"Standby")</f>
        <v>0</v>
      </c>
      <c r="I452" s="8">
        <f>COUNTIF($I$414:$I$445,"Standby")</f>
        <v>0</v>
      </c>
      <c r="J452" s="8">
        <f>COUNTIF($J$414:$J$445,"Standby")</f>
        <v>0</v>
      </c>
      <c r="K452" s="8">
        <f>COUNTIF($K$414:$K$445,"Standby")</f>
        <v>0</v>
      </c>
      <c r="L452" s="8">
        <f>COUNTIF($L$414:$L$445,"Standby")</f>
        <v>0</v>
      </c>
      <c r="M452" s="9">
        <f>COUNTIF($M$414:$M$445,"Standby")</f>
        <v>0</v>
      </c>
    </row>
    <row r="453" spans="1:13">
      <c r="A453" s="42" t="s">
        <v>4</v>
      </c>
      <c r="B453" s="7">
        <f>COUNTIF($B$414:$B$445,"Yard")</f>
        <v>0</v>
      </c>
      <c r="C453" s="8">
        <f>COUNTIF($C$414:$C$445,"Yard")</f>
        <v>0</v>
      </c>
      <c r="D453" s="8">
        <f>COUNTIF($D$414:$D$445,"Yard")</f>
        <v>0</v>
      </c>
      <c r="E453" s="8">
        <f>COUNTIF($E$414:$E$445,"Yard")</f>
        <v>0</v>
      </c>
      <c r="F453" s="8">
        <f>COUNTIF($F$414:$F$445,"Yard")</f>
        <v>0</v>
      </c>
      <c r="G453" s="8">
        <f>COUNTIF($G$414:$G$445,"Yard")</f>
        <v>0</v>
      </c>
      <c r="H453" s="8">
        <f>COUNTIF($H$414:$H$445,"Yard")</f>
        <v>0</v>
      </c>
      <c r="I453" s="8">
        <f>COUNTIF($I$414:$I$445,"Yard")</f>
        <v>0</v>
      </c>
      <c r="J453" s="8">
        <f>COUNTIF($J$414:$J$445,"Yard")</f>
        <v>0</v>
      </c>
      <c r="K453" s="8">
        <f>COUNTIF($K$414:$K$445,"Yard")</f>
        <v>0</v>
      </c>
      <c r="L453" s="8">
        <f>COUNTIF($L$414:$L$445,"Yard")</f>
        <v>0</v>
      </c>
      <c r="M453" s="9">
        <f>COUNTIF($M$414:$M$445,"Yard")</f>
        <v>0</v>
      </c>
    </row>
    <row r="454" spans="1:13">
      <c r="A454" s="42" t="s">
        <v>5</v>
      </c>
      <c r="B454" s="7">
        <f>COUNTIF($B$414:$B$445,"Holiday")</f>
        <v>0</v>
      </c>
      <c r="C454" s="8">
        <f>COUNTIF($C$414:$C$445,"Holiday")</f>
        <v>0</v>
      </c>
      <c r="D454" s="8">
        <f>COUNTIF($D$414:$D$445,"Holiday")</f>
        <v>0</v>
      </c>
      <c r="E454" s="8">
        <f>COUNTIF($E$414:$E$445,"Holiday")</f>
        <v>0</v>
      </c>
      <c r="F454" s="8">
        <f>COUNTIF($F$414:$F$445,"Holiday")</f>
        <v>0</v>
      </c>
      <c r="G454" s="8">
        <f>COUNTIF($G$414:$G$445,"Holiday")</f>
        <v>0</v>
      </c>
      <c r="H454" s="8">
        <f>COUNTIF($H$414:$H$445,"Holiday")</f>
        <v>0</v>
      </c>
      <c r="I454" s="8">
        <f>COUNTIF($I$414:$I$445,"Holiday")</f>
        <v>0</v>
      </c>
      <c r="J454" s="8">
        <f>COUNTIF($J$414:$J$445,"Holiday")</f>
        <v>0</v>
      </c>
      <c r="K454" s="8">
        <f>COUNTIF($K$414:$K$445,"Holiday")</f>
        <v>0</v>
      </c>
      <c r="L454" s="8">
        <f>COUNTIF($L$414:$L$445,"Holiday")</f>
        <v>0</v>
      </c>
      <c r="M454" s="9">
        <f>COUNTIF($M$414:$M$445,"Holiday")</f>
        <v>0</v>
      </c>
    </row>
    <row r="455" spans="1:13">
      <c r="A455" s="42" t="s">
        <v>6</v>
      </c>
      <c r="B455" s="7">
        <f>COUNTIF($B$414:$B$445,"Sick")</f>
        <v>0</v>
      </c>
      <c r="C455" s="8">
        <f>COUNTIF($C$414:$C$445,"Sick")</f>
        <v>0</v>
      </c>
      <c r="D455" s="8">
        <f>COUNTIF($D$414:$D$445,"Sick")</f>
        <v>0</v>
      </c>
      <c r="E455" s="8">
        <f>COUNTIF($E$414:$E$445,"Sick")</f>
        <v>0</v>
      </c>
      <c r="F455" s="8">
        <f>COUNTIF($F$414:$F$445,"Sick")</f>
        <v>0</v>
      </c>
      <c r="G455" s="8">
        <f>COUNTIF($G$414:$G$445,"Sick")</f>
        <v>0</v>
      </c>
      <c r="H455" s="8">
        <f>COUNTIF($H$414:$H$445,"Sick")</f>
        <v>0</v>
      </c>
      <c r="I455" s="8">
        <f>COUNTIF($I$414:$I$445,"Sick")</f>
        <v>0</v>
      </c>
      <c r="J455" s="8">
        <f>COUNTIF($J$414:$J$445,"Sick")</f>
        <v>0</v>
      </c>
      <c r="K455" s="8">
        <f>COUNTIF($K$414:$K$445,"Sick")</f>
        <v>0</v>
      </c>
      <c r="L455" s="8">
        <f>COUNTIF($L$414:$L$445,"Sick")</f>
        <v>0</v>
      </c>
      <c r="M455" s="9">
        <f>COUNTIF($M$414:$M$445,"Sick")</f>
        <v>0</v>
      </c>
    </row>
    <row r="456" spans="1:13">
      <c r="A456" s="43" t="s">
        <v>7</v>
      </c>
      <c r="B456" s="10">
        <f>COUNTIF($B$414:$B$445,"Study")</f>
        <v>0</v>
      </c>
      <c r="C456" s="11">
        <f>COUNTIF($C$414:$C$445,"Study")</f>
        <v>0</v>
      </c>
      <c r="D456" s="11">
        <f>COUNTIF($D$414:$D$445,"Study")</f>
        <v>0</v>
      </c>
      <c r="E456" s="11">
        <f>COUNTIF($E$414:$E$445,"Study")</f>
        <v>0</v>
      </c>
      <c r="F456" s="11">
        <f>COUNTIF($F$414:$F$445,"Study")</f>
        <v>0</v>
      </c>
      <c r="G456" s="11">
        <f>COUNTIF($G$414:$G$445,"Study")</f>
        <v>0</v>
      </c>
      <c r="H456" s="11">
        <f>COUNTIF($H$414:$H$445,"Study")</f>
        <v>0</v>
      </c>
      <c r="I456" s="11">
        <f>COUNTIF($I$414:$I$445,"Study")</f>
        <v>0</v>
      </c>
      <c r="J456" s="11">
        <f>COUNTIF($J$414:$J$445,"Study")</f>
        <v>0</v>
      </c>
      <c r="K456" s="11">
        <f>COUNTIF($K$414:$K$445,"Study")</f>
        <v>0</v>
      </c>
      <c r="L456" s="11">
        <f>COUNTIF($L$414:$L$445,"Study")</f>
        <v>0</v>
      </c>
      <c r="M456" s="12">
        <f>COUNTIF($M$414:$M$445,"Study")</f>
        <v>0</v>
      </c>
    </row>
    <row r="457" spans="1:13" ht="15.75" thickBot="1"/>
    <row r="458" spans="1:13" ht="18.75" thickBot="1">
      <c r="A458" s="69" t="s">
        <v>15</v>
      </c>
      <c r="B458" s="70"/>
      <c r="C458" s="70"/>
      <c r="D458" s="70"/>
      <c r="E458" s="70"/>
      <c r="F458" s="70"/>
      <c r="G458" s="70"/>
      <c r="H458" s="70"/>
      <c r="I458" s="70"/>
      <c r="J458" s="70"/>
      <c r="K458" s="70"/>
      <c r="L458" s="70"/>
      <c r="M458" s="71"/>
    </row>
    <row r="460" spans="1:13">
      <c r="B460" s="57" t="s">
        <v>17</v>
      </c>
      <c r="C460" s="58" t="s">
        <v>18</v>
      </c>
      <c r="D460" s="58" t="s">
        <v>19</v>
      </c>
      <c r="E460" s="58" t="s">
        <v>20</v>
      </c>
      <c r="F460" s="58" t="s">
        <v>21</v>
      </c>
      <c r="G460" s="58" t="s">
        <v>22</v>
      </c>
      <c r="H460" s="58" t="s">
        <v>23</v>
      </c>
      <c r="I460" s="58" t="s">
        <v>24</v>
      </c>
      <c r="J460" s="58" t="s">
        <v>25</v>
      </c>
      <c r="K460" s="58" t="s">
        <v>26</v>
      </c>
      <c r="L460" s="58" t="s">
        <v>27</v>
      </c>
      <c r="M460" s="59" t="s">
        <v>28</v>
      </c>
    </row>
    <row r="461" spans="1:13">
      <c r="A461" s="41">
        <v>1</v>
      </c>
      <c r="B461" s="4"/>
      <c r="C461" s="5"/>
      <c r="D461" s="5"/>
      <c r="E461" s="5"/>
      <c r="F461" s="5"/>
      <c r="G461" s="5"/>
      <c r="H461" s="5"/>
      <c r="I461" s="5"/>
      <c r="J461" s="5"/>
      <c r="K461" s="5"/>
      <c r="L461" s="5"/>
      <c r="M461" s="6"/>
    </row>
    <row r="462" spans="1:13">
      <c r="A462" s="42">
        <v>2</v>
      </c>
      <c r="B462" s="7"/>
      <c r="C462" s="8"/>
      <c r="D462" s="8"/>
      <c r="E462" s="8"/>
      <c r="F462" s="8"/>
      <c r="G462" s="8"/>
      <c r="H462" s="8"/>
      <c r="I462" s="8"/>
      <c r="J462" s="8"/>
      <c r="K462" s="8"/>
      <c r="L462" s="8"/>
      <c r="M462" s="9"/>
    </row>
    <row r="463" spans="1:13">
      <c r="A463" s="42">
        <v>3</v>
      </c>
      <c r="B463" s="7"/>
      <c r="C463" s="8"/>
      <c r="D463" s="8"/>
      <c r="E463" s="8"/>
      <c r="F463" s="8"/>
      <c r="G463" s="8"/>
      <c r="H463" s="8"/>
      <c r="I463" s="8"/>
      <c r="J463" s="8"/>
      <c r="K463" s="8"/>
      <c r="L463" s="8"/>
      <c r="M463" s="9"/>
    </row>
    <row r="464" spans="1:13">
      <c r="A464" s="42">
        <v>4</v>
      </c>
      <c r="B464" s="7"/>
      <c r="C464" s="8"/>
      <c r="D464" s="8"/>
      <c r="E464" s="8"/>
      <c r="F464" s="8"/>
      <c r="G464" s="8"/>
      <c r="H464" s="8"/>
      <c r="I464" s="8"/>
      <c r="J464" s="8"/>
      <c r="K464" s="8"/>
      <c r="L464" s="8"/>
      <c r="M464" s="9"/>
    </row>
    <row r="465" spans="1:13">
      <c r="A465" s="42">
        <v>5</v>
      </c>
      <c r="B465" s="7"/>
      <c r="C465" s="8"/>
      <c r="D465" s="8"/>
      <c r="E465" s="8"/>
      <c r="F465" s="8"/>
      <c r="G465" s="8"/>
      <c r="H465" s="8"/>
      <c r="I465" s="8"/>
      <c r="J465" s="8"/>
      <c r="K465" s="8"/>
      <c r="L465" s="8"/>
      <c r="M465" s="9"/>
    </row>
    <row r="466" spans="1:13">
      <c r="A466" s="42">
        <v>6</v>
      </c>
      <c r="B466" s="7"/>
      <c r="C466" s="8"/>
      <c r="D466" s="8"/>
      <c r="E466" s="8"/>
      <c r="F466" s="8"/>
      <c r="G466" s="8"/>
      <c r="H466" s="8"/>
      <c r="I466" s="8"/>
      <c r="J466" s="8"/>
      <c r="K466" s="8"/>
      <c r="L466" s="8"/>
      <c r="M466" s="9"/>
    </row>
    <row r="467" spans="1:13">
      <c r="A467" s="42">
        <v>7</v>
      </c>
      <c r="B467" s="7"/>
      <c r="C467" s="8"/>
      <c r="D467" s="8"/>
      <c r="E467" s="8"/>
      <c r="F467" s="8"/>
      <c r="G467" s="8"/>
      <c r="H467" s="8"/>
      <c r="I467" s="8"/>
      <c r="J467" s="8"/>
      <c r="K467" s="8"/>
      <c r="L467" s="8"/>
      <c r="M467" s="9"/>
    </row>
    <row r="468" spans="1:13">
      <c r="A468" s="42">
        <v>8</v>
      </c>
      <c r="B468" s="7"/>
      <c r="C468" s="8"/>
      <c r="D468" s="8"/>
      <c r="E468" s="8"/>
      <c r="F468" s="8"/>
      <c r="G468" s="8"/>
      <c r="H468" s="8"/>
      <c r="I468" s="8"/>
      <c r="J468" s="8"/>
      <c r="K468" s="8"/>
      <c r="L468" s="8"/>
      <c r="M468" s="9"/>
    </row>
    <row r="469" spans="1:13">
      <c r="A469" s="42">
        <v>9</v>
      </c>
      <c r="B469" s="7"/>
      <c r="C469" s="8"/>
      <c r="D469" s="8"/>
      <c r="E469" s="8"/>
      <c r="F469" s="8"/>
      <c r="G469" s="8"/>
      <c r="H469" s="8"/>
      <c r="I469" s="8"/>
      <c r="J469" s="8"/>
      <c r="K469" s="8"/>
      <c r="L469" s="8"/>
      <c r="M469" s="9"/>
    </row>
    <row r="470" spans="1:13">
      <c r="A470" s="42">
        <v>10</v>
      </c>
      <c r="B470" s="7"/>
      <c r="C470" s="8"/>
      <c r="D470" s="8"/>
      <c r="E470" s="8"/>
      <c r="F470" s="8"/>
      <c r="G470" s="8"/>
      <c r="H470" s="8"/>
      <c r="I470" s="8"/>
      <c r="J470" s="8"/>
      <c r="K470" s="8"/>
      <c r="L470" s="8"/>
      <c r="M470" s="9"/>
    </row>
    <row r="471" spans="1:13">
      <c r="A471" s="42">
        <v>11</v>
      </c>
      <c r="B471" s="7"/>
      <c r="C471" s="8"/>
      <c r="D471" s="8"/>
      <c r="E471" s="8"/>
      <c r="F471" s="8"/>
      <c r="G471" s="8"/>
      <c r="H471" s="8"/>
      <c r="I471" s="8"/>
      <c r="J471" s="8"/>
      <c r="K471" s="8"/>
      <c r="L471" s="8"/>
      <c r="M471" s="9"/>
    </row>
    <row r="472" spans="1:13">
      <c r="A472" s="42">
        <v>12</v>
      </c>
      <c r="B472" s="7"/>
      <c r="C472" s="8"/>
      <c r="D472" s="8"/>
      <c r="E472" s="8"/>
      <c r="F472" s="8"/>
      <c r="G472" s="8"/>
      <c r="H472" s="8"/>
      <c r="I472" s="8"/>
      <c r="J472" s="8"/>
      <c r="K472" s="8"/>
      <c r="L472" s="8"/>
      <c r="M472" s="9"/>
    </row>
    <row r="473" spans="1:13">
      <c r="A473" s="42">
        <v>13</v>
      </c>
      <c r="B473" s="7"/>
      <c r="C473" s="8"/>
      <c r="D473" s="8"/>
      <c r="E473" s="8"/>
      <c r="F473" s="8"/>
      <c r="G473" s="8"/>
      <c r="H473" s="8"/>
      <c r="I473" s="8"/>
      <c r="J473" s="8"/>
      <c r="K473" s="8"/>
      <c r="L473" s="8"/>
      <c r="M473" s="9"/>
    </row>
    <row r="474" spans="1:13">
      <c r="A474" s="42">
        <v>14</v>
      </c>
      <c r="B474" s="7"/>
      <c r="C474" s="8"/>
      <c r="D474" s="8"/>
      <c r="E474" s="8"/>
      <c r="F474" s="8"/>
      <c r="G474" s="8"/>
      <c r="H474" s="8"/>
      <c r="I474" s="8"/>
      <c r="J474" s="8"/>
      <c r="K474" s="8"/>
      <c r="L474" s="8"/>
      <c r="M474" s="9"/>
    </row>
    <row r="475" spans="1:13">
      <c r="A475" s="42">
        <v>15</v>
      </c>
      <c r="B475" s="7"/>
      <c r="C475" s="8"/>
      <c r="D475" s="8"/>
      <c r="E475" s="8"/>
      <c r="F475" s="8"/>
      <c r="G475" s="8"/>
      <c r="H475" s="8"/>
      <c r="I475" s="8"/>
      <c r="J475" s="8"/>
      <c r="K475" s="8"/>
      <c r="L475" s="8"/>
      <c r="M475" s="9"/>
    </row>
    <row r="476" spans="1:13">
      <c r="A476" s="42">
        <v>16</v>
      </c>
      <c r="B476" s="7"/>
      <c r="C476" s="8"/>
      <c r="D476" s="8"/>
      <c r="E476" s="8"/>
      <c r="F476" s="8"/>
      <c r="G476" s="8"/>
      <c r="H476" s="8"/>
      <c r="I476" s="8"/>
      <c r="J476" s="8"/>
      <c r="K476" s="8"/>
      <c r="L476" s="8"/>
      <c r="M476" s="9"/>
    </row>
    <row r="477" spans="1:13">
      <c r="A477" s="42">
        <v>17</v>
      </c>
      <c r="B477" s="7"/>
      <c r="C477" s="8"/>
      <c r="D477" s="8"/>
      <c r="E477" s="8"/>
      <c r="F477" s="8"/>
      <c r="G477" s="8"/>
      <c r="H477" s="8"/>
      <c r="I477" s="8"/>
      <c r="J477" s="8"/>
      <c r="K477" s="8"/>
      <c r="L477" s="8"/>
      <c r="M477" s="9"/>
    </row>
    <row r="478" spans="1:13">
      <c r="A478" s="42">
        <v>18</v>
      </c>
      <c r="B478" s="7"/>
      <c r="C478" s="8"/>
      <c r="D478" s="8"/>
      <c r="E478" s="8"/>
      <c r="F478" s="8"/>
      <c r="G478" s="8"/>
      <c r="H478" s="8"/>
      <c r="I478" s="8"/>
      <c r="J478" s="8"/>
      <c r="K478" s="8"/>
      <c r="L478" s="8"/>
      <c r="M478" s="9"/>
    </row>
    <row r="479" spans="1:13">
      <c r="A479" s="42">
        <v>19</v>
      </c>
      <c r="B479" s="7"/>
      <c r="C479" s="8"/>
      <c r="D479" s="8"/>
      <c r="E479" s="8"/>
      <c r="F479" s="8"/>
      <c r="G479" s="8"/>
      <c r="H479" s="8"/>
      <c r="I479" s="8"/>
      <c r="J479" s="8"/>
      <c r="K479" s="8"/>
      <c r="L479" s="8"/>
      <c r="M479" s="9"/>
    </row>
    <row r="480" spans="1:13">
      <c r="A480" s="42">
        <v>20</v>
      </c>
      <c r="B480" s="7"/>
      <c r="C480" s="8"/>
      <c r="D480" s="8"/>
      <c r="E480" s="8"/>
      <c r="F480" s="8"/>
      <c r="G480" s="8"/>
      <c r="H480" s="8"/>
      <c r="I480" s="8"/>
      <c r="J480" s="8"/>
      <c r="K480" s="8"/>
      <c r="L480" s="8"/>
      <c r="M480" s="9"/>
    </row>
    <row r="481" spans="1:13">
      <c r="A481" s="42">
        <v>21</v>
      </c>
      <c r="B481" s="7"/>
      <c r="C481" s="8"/>
      <c r="D481" s="8"/>
      <c r="E481" s="8"/>
      <c r="F481" s="8"/>
      <c r="G481" s="8"/>
      <c r="H481" s="8"/>
      <c r="I481" s="8"/>
      <c r="J481" s="8"/>
      <c r="K481" s="8"/>
      <c r="L481" s="8"/>
      <c r="M481" s="9"/>
    </row>
    <row r="482" spans="1:13">
      <c r="A482" s="42">
        <v>22</v>
      </c>
      <c r="B482" s="7"/>
      <c r="C482" s="8"/>
      <c r="D482" s="8"/>
      <c r="E482" s="8"/>
      <c r="F482" s="8"/>
      <c r="G482" s="8"/>
      <c r="H482" s="8"/>
      <c r="I482" s="8"/>
      <c r="J482" s="8"/>
      <c r="K482" s="8"/>
      <c r="L482" s="8"/>
      <c r="M482" s="9"/>
    </row>
    <row r="483" spans="1:13">
      <c r="A483" s="42">
        <v>23</v>
      </c>
      <c r="B483" s="7"/>
      <c r="C483" s="8"/>
      <c r="D483" s="8"/>
      <c r="E483" s="8"/>
      <c r="F483" s="8"/>
      <c r="G483" s="8"/>
      <c r="H483" s="8"/>
      <c r="I483" s="8"/>
      <c r="J483" s="8"/>
      <c r="K483" s="8"/>
      <c r="L483" s="8"/>
      <c r="M483" s="9"/>
    </row>
    <row r="484" spans="1:13">
      <c r="A484" s="42">
        <v>24</v>
      </c>
      <c r="B484" s="7"/>
      <c r="C484" s="8"/>
      <c r="D484" s="8"/>
      <c r="E484" s="8"/>
      <c r="F484" s="8"/>
      <c r="G484" s="8"/>
      <c r="H484" s="8"/>
      <c r="I484" s="8"/>
      <c r="J484" s="8"/>
      <c r="K484" s="8"/>
      <c r="L484" s="8"/>
      <c r="M484" s="9"/>
    </row>
    <row r="485" spans="1:13">
      <c r="A485" s="42">
        <v>25</v>
      </c>
      <c r="B485" s="7"/>
      <c r="C485" s="8"/>
      <c r="D485" s="8"/>
      <c r="E485" s="8"/>
      <c r="F485" s="8"/>
      <c r="G485" s="8"/>
      <c r="H485" s="8"/>
      <c r="I485" s="8"/>
      <c r="J485" s="8"/>
      <c r="K485" s="8"/>
      <c r="L485" s="8"/>
      <c r="M485" s="9"/>
    </row>
    <row r="486" spans="1:13">
      <c r="A486" s="42">
        <v>26</v>
      </c>
      <c r="B486" s="7"/>
      <c r="C486" s="8"/>
      <c r="D486" s="8"/>
      <c r="E486" s="8"/>
      <c r="F486" s="8"/>
      <c r="G486" s="8"/>
      <c r="H486" s="8"/>
      <c r="I486" s="8"/>
      <c r="J486" s="8"/>
      <c r="K486" s="8"/>
      <c r="L486" s="8"/>
      <c r="M486" s="9"/>
    </row>
    <row r="487" spans="1:13">
      <c r="A487" s="42">
        <v>27</v>
      </c>
      <c r="B487" s="7"/>
      <c r="C487" s="8"/>
      <c r="D487" s="8"/>
      <c r="E487" s="8"/>
      <c r="F487" s="8"/>
      <c r="G487" s="8"/>
      <c r="H487" s="8"/>
      <c r="I487" s="8"/>
      <c r="J487" s="8"/>
      <c r="K487" s="8"/>
      <c r="L487" s="8"/>
      <c r="M487" s="9"/>
    </row>
    <row r="488" spans="1:13">
      <c r="A488" s="42">
        <v>28</v>
      </c>
      <c r="B488" s="7"/>
      <c r="C488" s="8"/>
      <c r="D488" s="8"/>
      <c r="E488" s="8"/>
      <c r="F488" s="8"/>
      <c r="G488" s="8"/>
      <c r="H488" s="8"/>
      <c r="I488" s="8"/>
      <c r="J488" s="8"/>
      <c r="K488" s="8"/>
      <c r="L488" s="8"/>
      <c r="M488" s="9"/>
    </row>
    <row r="489" spans="1:13">
      <c r="A489" s="42">
        <v>29</v>
      </c>
      <c r="B489" s="7"/>
      <c r="C489" s="8"/>
      <c r="D489" s="8"/>
      <c r="E489" s="8"/>
      <c r="F489" s="8"/>
      <c r="G489" s="8"/>
      <c r="H489" s="8"/>
      <c r="I489" s="8"/>
      <c r="J489" s="8"/>
      <c r="K489" s="8"/>
      <c r="L489" s="8"/>
      <c r="M489" s="9"/>
    </row>
    <row r="490" spans="1:13">
      <c r="A490" s="42">
        <v>30</v>
      </c>
      <c r="B490" s="7"/>
      <c r="C490" s="8"/>
      <c r="D490" s="8"/>
      <c r="E490" s="8"/>
      <c r="F490" s="8"/>
      <c r="G490" s="8"/>
      <c r="H490" s="8"/>
      <c r="I490" s="8"/>
      <c r="J490" s="8"/>
      <c r="K490" s="8"/>
      <c r="L490" s="8"/>
      <c r="M490" s="9"/>
    </row>
    <row r="491" spans="1:13">
      <c r="A491" s="43">
        <v>31</v>
      </c>
      <c r="B491" s="10"/>
      <c r="C491" s="11"/>
      <c r="D491" s="11"/>
      <c r="E491" s="11"/>
      <c r="F491" s="11"/>
      <c r="G491" s="11"/>
      <c r="H491" s="11"/>
      <c r="I491" s="11"/>
      <c r="J491" s="11"/>
      <c r="K491" s="11"/>
      <c r="L491" s="11"/>
      <c r="M491" s="12"/>
    </row>
    <row r="493" spans="1:13" ht="15.75">
      <c r="A493" s="72" t="s">
        <v>29</v>
      </c>
      <c r="B493" s="72"/>
      <c r="C493" s="72"/>
      <c r="D493" s="72"/>
      <c r="E493" s="72"/>
      <c r="F493" s="72"/>
      <c r="G493" s="72"/>
      <c r="H493" s="72"/>
      <c r="I493" s="72"/>
      <c r="J493" s="72"/>
      <c r="K493" s="72"/>
      <c r="L493" s="72"/>
      <c r="M493" s="72"/>
    </row>
    <row r="494" spans="1:13">
      <c r="B494" s="57" t="s">
        <v>17</v>
      </c>
      <c r="C494" s="58" t="s">
        <v>18</v>
      </c>
      <c r="D494" s="58" t="s">
        <v>19</v>
      </c>
      <c r="E494" s="58" t="s">
        <v>20</v>
      </c>
      <c r="F494" s="58" t="s">
        <v>21</v>
      </c>
      <c r="G494" s="58" t="s">
        <v>22</v>
      </c>
      <c r="H494" s="58" t="s">
        <v>23</v>
      </c>
      <c r="I494" s="58" t="s">
        <v>24</v>
      </c>
      <c r="J494" s="58" t="s">
        <v>25</v>
      </c>
      <c r="K494" s="58" t="s">
        <v>26</v>
      </c>
      <c r="L494" s="58" t="s">
        <v>27</v>
      </c>
      <c r="M494" s="59" t="s">
        <v>28</v>
      </c>
    </row>
    <row r="495" spans="1:13">
      <c r="A495" s="41" t="s">
        <v>3</v>
      </c>
      <c r="B495" s="4">
        <f>COUNTIF($B$460:$B$491,"Anchor")</f>
        <v>0</v>
      </c>
      <c r="C495" s="5">
        <f>COUNTIF($C$460:$C$491,"Anchor")</f>
        <v>0</v>
      </c>
      <c r="D495" s="5">
        <f>COUNTIF($D$460:$D$491,"Anchor")</f>
        <v>0</v>
      </c>
      <c r="E495" s="5">
        <f>COUNTIF($E$460:$E$491,"Anchor")</f>
        <v>0</v>
      </c>
      <c r="F495" s="5">
        <f>COUNTIF($F$460:$F$491,"Anchor")</f>
        <v>0</v>
      </c>
      <c r="G495" s="5">
        <f>COUNTIF($G$460:$G$491,"Anchor")</f>
        <v>0</v>
      </c>
      <c r="H495" s="5">
        <f>COUNTIF($H$460:$H$491,"Anchor")</f>
        <v>0</v>
      </c>
      <c r="I495" s="5">
        <f>COUNTIF($I$460:$I$491,"Anchor")</f>
        <v>0</v>
      </c>
      <c r="J495" s="5">
        <f>COUNTIF($J$460:$J$491,"Anchor")</f>
        <v>0</v>
      </c>
      <c r="K495" s="5">
        <f>COUNTIF($K$460:$K$491,"Anchor")</f>
        <v>0</v>
      </c>
      <c r="L495" s="5">
        <f>COUNTIF($L$460:$L$491,"Anchor")</f>
        <v>0</v>
      </c>
      <c r="M495" s="6">
        <f>COUNTIF($M$460:$M$491,"Anchor")</f>
        <v>0</v>
      </c>
    </row>
    <row r="496" spans="1:13">
      <c r="A496" s="42" t="s">
        <v>1</v>
      </c>
      <c r="B496" s="7">
        <f>COUNTIF($B$460:$B$491,"At Sea")</f>
        <v>0</v>
      </c>
      <c r="C496" s="8">
        <f>COUNTIF($C$460:$C$491,"At Sea")</f>
        <v>0</v>
      </c>
      <c r="D496" s="8">
        <f>COUNTIF($D$460:$D$491,"At Sea")</f>
        <v>0</v>
      </c>
      <c r="E496" s="8">
        <f>COUNTIF($E$460:$E$491,"At Sea")</f>
        <v>0</v>
      </c>
      <c r="F496" s="8">
        <f>COUNTIF($F$460:$F$491,"At Sea")</f>
        <v>0</v>
      </c>
      <c r="G496" s="8">
        <f>COUNTIF($G$460:$G$491,"At Sea")</f>
        <v>0</v>
      </c>
      <c r="H496" s="8">
        <f>COUNTIF($H$460:$H$491,"At Sea")</f>
        <v>0</v>
      </c>
      <c r="I496" s="8">
        <f>COUNTIF($I$460:$I$491,"At Sea")</f>
        <v>0</v>
      </c>
      <c r="J496" s="8">
        <f>COUNTIF($J$460:$J$491,"At Sea")</f>
        <v>0</v>
      </c>
      <c r="K496" s="8">
        <f>COUNTIF($K$460:$K$491,"At Sea")</f>
        <v>0</v>
      </c>
      <c r="L496" s="8">
        <f>COUNTIF($L$460:$L$491,"At Sea")</f>
        <v>0</v>
      </c>
      <c r="M496" s="9">
        <f>COUNTIF($M$460:$M$491,"At Sea")</f>
        <v>0</v>
      </c>
    </row>
    <row r="497" spans="1:13">
      <c r="A497" s="42" t="s">
        <v>2</v>
      </c>
      <c r="B497" s="7">
        <f>COUNTIF($B$460:$B$491,"On Dock")</f>
        <v>0</v>
      </c>
      <c r="C497" s="8">
        <f>COUNTIF($C$460:$C$491,"On Dock")</f>
        <v>0</v>
      </c>
      <c r="D497" s="8">
        <f>COUNTIF($D$460:$D$491,"On Dock")</f>
        <v>0</v>
      </c>
      <c r="E497" s="8">
        <f>COUNTIF($E$460:$E$491,"On Dock")</f>
        <v>0</v>
      </c>
      <c r="F497" s="8">
        <f>COUNTIF($F$460:$F$491,"On Dock")</f>
        <v>0</v>
      </c>
      <c r="G497" s="8">
        <f>COUNTIF($G$460:$G$491,"On Dock")</f>
        <v>0</v>
      </c>
      <c r="H497" s="8">
        <f>COUNTIF($H$460:$H$491,"On Dock")</f>
        <v>0</v>
      </c>
      <c r="I497" s="8">
        <f>COUNTIF($I$460:$I$491,"On Dock")</f>
        <v>0</v>
      </c>
      <c r="J497" s="8">
        <f>COUNTIF($J$460:$J$491,"On Dock")</f>
        <v>0</v>
      </c>
      <c r="K497" s="8">
        <f>COUNTIF($K$460:$K$491,"On Dock")</f>
        <v>0</v>
      </c>
      <c r="L497" s="8">
        <f>COUNTIF($L$460:$L$491,"On Dock")</f>
        <v>0</v>
      </c>
      <c r="M497" s="9">
        <f>COUNTIF($M$460:$M$491,"On Dock")</f>
        <v>0</v>
      </c>
    </row>
    <row r="498" spans="1:13">
      <c r="A498" s="42" t="s">
        <v>51</v>
      </c>
      <c r="B498" s="7">
        <f>COUNTIF($B$460:$B$491,"Standby")</f>
        <v>0</v>
      </c>
      <c r="C498" s="8">
        <f>COUNTIF($C$460:$C$491,"Standby")</f>
        <v>0</v>
      </c>
      <c r="D498" s="8">
        <f>COUNTIF($D$460:$D$491,"Standby")</f>
        <v>0</v>
      </c>
      <c r="E498" s="8">
        <f>COUNTIF($E$460:$E$491,"Standby")</f>
        <v>0</v>
      </c>
      <c r="F498" s="8">
        <f>COUNTIF($F$460:$F$491,"Standby")</f>
        <v>0</v>
      </c>
      <c r="G498" s="8">
        <f>COUNTIF($G$460:$G$491,"Standby")</f>
        <v>0</v>
      </c>
      <c r="H498" s="8">
        <f>COUNTIF($H$460:$H$491,"Standby")</f>
        <v>0</v>
      </c>
      <c r="I498" s="8">
        <f>COUNTIF($I$460:$I$491,"Standby")</f>
        <v>0</v>
      </c>
      <c r="J498" s="8">
        <f>COUNTIF($J$460:$J$491,"Standby")</f>
        <v>0</v>
      </c>
      <c r="K498" s="8">
        <f>COUNTIF($K$460:$K$491,"Standby")</f>
        <v>0</v>
      </c>
      <c r="L498" s="8">
        <f>COUNTIF($L$460:$L$491,"Standby")</f>
        <v>0</v>
      </c>
      <c r="M498" s="9">
        <f>COUNTIF($M$460:$M$491,"Standby")</f>
        <v>0</v>
      </c>
    </row>
    <row r="499" spans="1:13">
      <c r="A499" s="42" t="s">
        <v>4</v>
      </c>
      <c r="B499" s="7">
        <f>COUNTIF($B$460:$B$491,"Yard")</f>
        <v>0</v>
      </c>
      <c r="C499" s="8">
        <f>COUNTIF($C$460:$C$491,"Yard")</f>
        <v>0</v>
      </c>
      <c r="D499" s="8">
        <f>COUNTIF($D$460:$D$491,"Yard")</f>
        <v>0</v>
      </c>
      <c r="E499" s="8">
        <f>COUNTIF($E$460:$E$491,"Yard")</f>
        <v>0</v>
      </c>
      <c r="F499" s="8">
        <f>COUNTIF($F$460:$F$491,"Yard")</f>
        <v>0</v>
      </c>
      <c r="G499" s="8">
        <f>COUNTIF($G$460:$G$491,"Yard")</f>
        <v>0</v>
      </c>
      <c r="H499" s="8">
        <f>COUNTIF($H$460:$H$491,"Yard")</f>
        <v>0</v>
      </c>
      <c r="I499" s="8">
        <f>COUNTIF($I$460:$I$491,"Yard")</f>
        <v>0</v>
      </c>
      <c r="J499" s="8">
        <f>COUNTIF($J$460:$J$491,"Yard")</f>
        <v>0</v>
      </c>
      <c r="K499" s="8">
        <f>COUNTIF($K$460:$K$491,"Yard")</f>
        <v>0</v>
      </c>
      <c r="L499" s="8">
        <f>COUNTIF($L$460:$L$491,"Yard")</f>
        <v>0</v>
      </c>
      <c r="M499" s="9">
        <f>COUNTIF($M$460:$M$491,"Yard")</f>
        <v>0</v>
      </c>
    </row>
    <row r="500" spans="1:13">
      <c r="A500" s="42" t="s">
        <v>5</v>
      </c>
      <c r="B500" s="7">
        <f>COUNTIF($B$460:$B$491,"Holiday")</f>
        <v>0</v>
      </c>
      <c r="C500" s="8">
        <f>COUNTIF($C$460:$C$491,"Holiday")</f>
        <v>0</v>
      </c>
      <c r="D500" s="8">
        <f>COUNTIF($D$460:$D$491,"Holiday")</f>
        <v>0</v>
      </c>
      <c r="E500" s="8">
        <f>COUNTIF($E$460:$E$491,"Holiday")</f>
        <v>0</v>
      </c>
      <c r="F500" s="8">
        <f>COUNTIF($F$460:$F$491,"Holiday")</f>
        <v>0</v>
      </c>
      <c r="G500" s="8">
        <f>COUNTIF($G$460:$G$491,"Holiday")</f>
        <v>0</v>
      </c>
      <c r="H500" s="8">
        <f>COUNTIF($H$460:$H$491,"Holiday")</f>
        <v>0</v>
      </c>
      <c r="I500" s="8">
        <f>COUNTIF($I$460:$I$491,"Holiday")</f>
        <v>0</v>
      </c>
      <c r="J500" s="8">
        <f>COUNTIF($J$460:$J$491,"Holiday")</f>
        <v>0</v>
      </c>
      <c r="K500" s="8">
        <f>COUNTIF($K$460:$K$491,"Holiday")</f>
        <v>0</v>
      </c>
      <c r="L500" s="8">
        <f>COUNTIF($L$460:$L$491,"Holiday")</f>
        <v>0</v>
      </c>
      <c r="M500" s="9">
        <f>COUNTIF($M$460:$M$491,"Holiday")</f>
        <v>0</v>
      </c>
    </row>
    <row r="501" spans="1:13">
      <c r="A501" s="42" t="s">
        <v>6</v>
      </c>
      <c r="B501" s="7">
        <f>COUNTIF($B$460:$B$491,"Sick")</f>
        <v>0</v>
      </c>
      <c r="C501" s="8">
        <f>COUNTIF($C$460:$C$491,"Sick")</f>
        <v>0</v>
      </c>
      <c r="D501" s="8">
        <f>COUNTIF($D$460:$D$491,"Sick")</f>
        <v>0</v>
      </c>
      <c r="E501" s="8">
        <f>COUNTIF($E$460:$E$491,"Sick")</f>
        <v>0</v>
      </c>
      <c r="F501" s="8">
        <f>COUNTIF($F$460:$F$491,"Sick")</f>
        <v>0</v>
      </c>
      <c r="G501" s="8">
        <f>COUNTIF($G$460:$G$491,"Sick")</f>
        <v>0</v>
      </c>
      <c r="H501" s="8">
        <f>COUNTIF($H$460:$H$491,"Sick")</f>
        <v>0</v>
      </c>
      <c r="I501" s="8">
        <f>COUNTIF($I$460:$I$491,"Sick")</f>
        <v>0</v>
      </c>
      <c r="J501" s="8">
        <f>COUNTIF($J$460:$J$491,"Sick")</f>
        <v>0</v>
      </c>
      <c r="K501" s="8">
        <f>COUNTIF($K$460:$K$491,"Sick")</f>
        <v>0</v>
      </c>
      <c r="L501" s="8">
        <f>COUNTIF($L$460:$L$491,"Sick")</f>
        <v>0</v>
      </c>
      <c r="M501" s="9">
        <f>COUNTIF($M$460:$M$491,"Sick")</f>
        <v>0</v>
      </c>
    </row>
    <row r="502" spans="1:13">
      <c r="A502" s="43" t="s">
        <v>7</v>
      </c>
      <c r="B502" s="10">
        <f>COUNTIF($B$460:$B$491,"Study")</f>
        <v>0</v>
      </c>
      <c r="C502" s="11">
        <f>COUNTIF($C$460:$C$491,"Study")</f>
        <v>0</v>
      </c>
      <c r="D502" s="11">
        <f>COUNTIF($D$460:$D$491,"Study")</f>
        <v>0</v>
      </c>
      <c r="E502" s="11">
        <f>COUNTIF($E$460:$E$491,"Study")</f>
        <v>0</v>
      </c>
      <c r="F502" s="11">
        <f>COUNTIF($F$460:$F$491,"Study")</f>
        <v>0</v>
      </c>
      <c r="G502" s="11">
        <f>COUNTIF($G$460:$G$491,"Study")</f>
        <v>0</v>
      </c>
      <c r="H502" s="11">
        <f>COUNTIF($H$460:$H$491,"Study")</f>
        <v>0</v>
      </c>
      <c r="I502" s="11">
        <f>COUNTIF($I$460:$I$491,"Study")</f>
        <v>0</v>
      </c>
      <c r="J502" s="11">
        <f>COUNTIF($J$460:$J$491,"Study")</f>
        <v>0</v>
      </c>
      <c r="K502" s="11">
        <f>COUNTIF($K$460:$K$491,"Study")</f>
        <v>0</v>
      </c>
      <c r="L502" s="11">
        <f>COUNTIF($L$460:$L$491,"Study")</f>
        <v>0</v>
      </c>
      <c r="M502" s="12">
        <f>COUNTIF($M$460:$M$491,"Study")</f>
        <v>0</v>
      </c>
    </row>
  </sheetData>
  <protectedRanges>
    <protectedRange sqref="A1" name="ShipName"/>
  </protectedRanges>
  <mergeCells count="22">
    <mergeCell ref="A263:M263"/>
    <mergeCell ref="A1:M1"/>
    <mergeCell ref="A36:M36"/>
    <mergeCell ref="A44:M44"/>
    <mergeCell ref="A79:M79"/>
    <mergeCell ref="A90:M90"/>
    <mergeCell ref="A125:M125"/>
    <mergeCell ref="A136:M136"/>
    <mergeCell ref="A171:M171"/>
    <mergeCell ref="A182:M182"/>
    <mergeCell ref="A217:M217"/>
    <mergeCell ref="A228:M228"/>
    <mergeCell ref="A412:M412"/>
    <mergeCell ref="A447:M447"/>
    <mergeCell ref="A458:M458"/>
    <mergeCell ref="A493:M493"/>
    <mergeCell ref="A274:M274"/>
    <mergeCell ref="A309:M309"/>
    <mergeCell ref="A320:M320"/>
    <mergeCell ref="A355:M355"/>
    <mergeCell ref="A366:M366"/>
    <mergeCell ref="A401:M401"/>
  </mergeCells>
  <pageMargins left="0.43307086614173229" right="0.43307086614173229" top="0.75" bottom="0.75" header="0.3" footer="0.3"/>
  <pageSetup paperSize="9" orientation="portrait" r:id="rId1"/>
  <headerFooter>
    <oddHeader>&amp;L07/03/13&amp;C&amp;B&amp;14Seatime&amp;B</oddHeader>
    <oddFooter>&amp;L&amp;P</oddFooter>
  </headerFooter>
  <rowBreaks count="11" manualBreakCount="11">
    <brk id="43" max="16383" man="1"/>
    <brk id="89" max="16383" man="1"/>
    <brk id="135" max="16383" man="1"/>
    <brk id="181" max="16383" man="1"/>
    <brk id="227" max="16383" man="1"/>
    <brk id="273" max="16383" man="1"/>
    <brk id="319" max="16383" man="1"/>
    <brk id="365" max="16383" man="1"/>
    <brk id="411" max="16383" man="1"/>
    <brk id="457" max="16383" man="1"/>
    <brk id="503"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34"/>
  <sheetViews>
    <sheetView showGridLines="0" view="pageLayout" topLeftCell="A7"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7" t="s">
        <v>17</v>
      </c>
      <c r="C3" s="58" t="s">
        <v>18</v>
      </c>
      <c r="D3" s="58" t="s">
        <v>19</v>
      </c>
      <c r="E3" s="58" t="s">
        <v>20</v>
      </c>
      <c r="F3" s="58" t="s">
        <v>21</v>
      </c>
      <c r="G3" s="58" t="s">
        <v>22</v>
      </c>
      <c r="H3" s="58" t="s">
        <v>23</v>
      </c>
      <c r="I3" s="58" t="s">
        <v>24</v>
      </c>
      <c r="J3" s="58" t="s">
        <v>25</v>
      </c>
      <c r="K3" s="58" t="s">
        <v>26</v>
      </c>
      <c r="L3" s="58" t="s">
        <v>27</v>
      </c>
      <c r="M3" s="59" t="s">
        <v>28</v>
      </c>
    </row>
    <row r="4" spans="1:13">
      <c r="A4" s="41">
        <v>1</v>
      </c>
      <c r="B4" s="4" t="s">
        <v>1</v>
      </c>
      <c r="C4" s="5" t="s">
        <v>2</v>
      </c>
      <c r="D4" s="5"/>
      <c r="E4" s="5"/>
      <c r="F4" s="5"/>
      <c r="G4" s="5"/>
      <c r="H4" s="5"/>
      <c r="I4" s="5"/>
      <c r="J4" s="5"/>
      <c r="K4" s="5"/>
      <c r="L4" s="5"/>
      <c r="M4" s="6"/>
    </row>
    <row r="5" spans="1:13">
      <c r="A5" s="42">
        <v>2</v>
      </c>
      <c r="B5" s="7" t="s">
        <v>1</v>
      </c>
      <c r="C5" s="8" t="s">
        <v>2</v>
      </c>
      <c r="D5" s="8"/>
      <c r="E5" s="8"/>
      <c r="F5" s="8"/>
      <c r="G5" s="8"/>
      <c r="H5" s="8"/>
      <c r="I5" s="8"/>
      <c r="J5" s="8"/>
      <c r="K5" s="8"/>
      <c r="L5" s="8"/>
      <c r="M5" s="9"/>
    </row>
    <row r="6" spans="1:13">
      <c r="A6" s="42">
        <v>3</v>
      </c>
      <c r="B6" s="7" t="s">
        <v>1</v>
      </c>
      <c r="C6" s="8" t="s">
        <v>2</v>
      </c>
      <c r="D6" s="8"/>
      <c r="E6" s="8"/>
      <c r="F6" s="8"/>
      <c r="G6" s="8"/>
      <c r="H6" s="8"/>
      <c r="I6" s="8"/>
      <c r="J6" s="8"/>
      <c r="K6" s="8"/>
      <c r="L6" s="8"/>
      <c r="M6" s="9"/>
    </row>
    <row r="7" spans="1:13">
      <c r="A7" s="42">
        <v>4</v>
      </c>
      <c r="B7" s="7" t="s">
        <v>1</v>
      </c>
      <c r="C7" s="8" t="s">
        <v>2</v>
      </c>
      <c r="D7" s="8"/>
      <c r="E7" s="8"/>
      <c r="F7" s="8"/>
      <c r="G7" s="8"/>
      <c r="H7" s="8"/>
      <c r="I7" s="8"/>
      <c r="J7" s="8"/>
      <c r="K7" s="8"/>
      <c r="L7" s="8"/>
      <c r="M7" s="9"/>
    </row>
    <row r="8" spans="1:13">
      <c r="A8" s="42">
        <v>5</v>
      </c>
      <c r="B8" s="7" t="s">
        <v>2</v>
      </c>
      <c r="C8" s="8" t="s">
        <v>2</v>
      </c>
      <c r="D8" s="8"/>
      <c r="E8" s="8"/>
      <c r="F8" s="8"/>
      <c r="G8" s="8"/>
      <c r="H8" s="8"/>
      <c r="I8" s="8"/>
      <c r="J8" s="8"/>
      <c r="K8" s="8"/>
      <c r="L8" s="8"/>
      <c r="M8" s="9"/>
    </row>
    <row r="9" spans="1:13">
      <c r="A9" s="42">
        <v>6</v>
      </c>
      <c r="B9" s="7" t="s">
        <v>2</v>
      </c>
      <c r="C9" s="8" t="s">
        <v>2</v>
      </c>
      <c r="D9" s="8"/>
      <c r="E9" s="8"/>
      <c r="F9" s="8"/>
      <c r="G9" s="8"/>
      <c r="H9" s="8"/>
      <c r="I9" s="8"/>
      <c r="J9" s="8"/>
      <c r="K9" s="8"/>
      <c r="L9" s="8"/>
      <c r="M9" s="9"/>
    </row>
    <row r="10" spans="1:13">
      <c r="A10" s="42">
        <v>7</v>
      </c>
      <c r="B10" s="7" t="s">
        <v>2</v>
      </c>
      <c r="C10" s="8" t="s">
        <v>2</v>
      </c>
      <c r="D10" s="8"/>
      <c r="E10" s="8"/>
      <c r="F10" s="8"/>
      <c r="G10" s="8"/>
      <c r="H10" s="8"/>
      <c r="I10" s="8"/>
      <c r="J10" s="8"/>
      <c r="K10" s="8"/>
      <c r="L10" s="8"/>
      <c r="M10" s="9"/>
    </row>
    <row r="11" spans="1:13">
      <c r="A11" s="42">
        <v>8</v>
      </c>
      <c r="B11" s="7" t="s">
        <v>2</v>
      </c>
      <c r="C11" s="8" t="s">
        <v>2</v>
      </c>
      <c r="D11" s="8"/>
      <c r="E11" s="8"/>
      <c r="F11" s="8"/>
      <c r="G11" s="8"/>
      <c r="H11" s="8"/>
      <c r="I11" s="8"/>
      <c r="J11" s="8"/>
      <c r="K11" s="8"/>
      <c r="L11" s="8"/>
      <c r="M11" s="9"/>
    </row>
    <row r="12" spans="1:13">
      <c r="A12" s="42">
        <v>9</v>
      </c>
      <c r="B12" s="7" t="s">
        <v>2</v>
      </c>
      <c r="C12" s="8" t="s">
        <v>2</v>
      </c>
      <c r="D12" s="8"/>
      <c r="E12" s="8"/>
      <c r="F12" s="8"/>
      <c r="G12" s="8"/>
      <c r="H12" s="8"/>
      <c r="I12" s="8"/>
      <c r="J12" s="8"/>
      <c r="K12" s="8"/>
      <c r="L12" s="8"/>
      <c r="M12" s="9"/>
    </row>
    <row r="13" spans="1:13">
      <c r="A13" s="42">
        <v>10</v>
      </c>
      <c r="B13" s="7" t="s">
        <v>2</v>
      </c>
      <c r="C13" s="8" t="s">
        <v>3</v>
      </c>
      <c r="D13" s="8"/>
      <c r="E13" s="8"/>
      <c r="F13" s="8"/>
      <c r="G13" s="8"/>
      <c r="H13" s="8"/>
      <c r="I13" s="8"/>
      <c r="J13" s="8"/>
      <c r="K13" s="8"/>
      <c r="L13" s="8"/>
      <c r="M13" s="9"/>
    </row>
    <row r="14" spans="1:13">
      <c r="A14" s="42">
        <v>11</v>
      </c>
      <c r="B14" s="7" t="s">
        <v>2</v>
      </c>
      <c r="C14" s="8" t="s">
        <v>3</v>
      </c>
      <c r="D14" s="8"/>
      <c r="E14" s="8"/>
      <c r="F14" s="8"/>
      <c r="G14" s="8"/>
      <c r="H14" s="8"/>
      <c r="I14" s="8"/>
      <c r="J14" s="8"/>
      <c r="K14" s="8"/>
      <c r="L14" s="8"/>
      <c r="M14" s="9"/>
    </row>
    <row r="15" spans="1:13">
      <c r="A15" s="42">
        <v>12</v>
      </c>
      <c r="B15" s="7" t="s">
        <v>2</v>
      </c>
      <c r="C15" s="8" t="s">
        <v>3</v>
      </c>
      <c r="D15" s="8"/>
      <c r="E15" s="8"/>
      <c r="F15" s="8"/>
      <c r="G15" s="8"/>
      <c r="H15" s="8"/>
      <c r="I15" s="8"/>
      <c r="J15" s="8"/>
      <c r="K15" s="8"/>
      <c r="L15" s="8"/>
      <c r="M15" s="9"/>
    </row>
    <row r="16" spans="1:13">
      <c r="A16" s="42">
        <v>13</v>
      </c>
      <c r="B16" s="7" t="s">
        <v>2</v>
      </c>
      <c r="C16" s="8" t="s">
        <v>3</v>
      </c>
      <c r="D16" s="8"/>
      <c r="E16" s="8"/>
      <c r="F16" s="8"/>
      <c r="G16" s="8"/>
      <c r="H16" s="8"/>
      <c r="I16" s="8"/>
      <c r="J16" s="8"/>
      <c r="K16" s="8"/>
      <c r="L16" s="8"/>
      <c r="M16" s="9"/>
    </row>
    <row r="17" spans="1:13">
      <c r="A17" s="42">
        <v>14</v>
      </c>
      <c r="B17" s="7" t="s">
        <v>2</v>
      </c>
      <c r="C17" s="8" t="s">
        <v>3</v>
      </c>
      <c r="D17" s="8"/>
      <c r="E17" s="8"/>
      <c r="F17" s="8"/>
      <c r="G17" s="8"/>
      <c r="H17" s="8"/>
      <c r="I17" s="8"/>
      <c r="J17" s="8"/>
      <c r="K17" s="8"/>
      <c r="L17" s="8"/>
      <c r="M17" s="9"/>
    </row>
    <row r="18" spans="1:13">
      <c r="A18" s="42">
        <v>15</v>
      </c>
      <c r="B18" s="7" t="s">
        <v>2</v>
      </c>
      <c r="C18" s="8" t="s">
        <v>3</v>
      </c>
      <c r="D18" s="8"/>
      <c r="E18" s="8"/>
      <c r="F18" s="8"/>
      <c r="G18" s="8"/>
      <c r="H18" s="8"/>
      <c r="I18" s="8"/>
      <c r="J18" s="8"/>
      <c r="K18" s="8"/>
      <c r="L18" s="8"/>
      <c r="M18" s="9"/>
    </row>
    <row r="19" spans="1:13">
      <c r="A19" s="42">
        <v>16</v>
      </c>
      <c r="B19" s="7" t="s">
        <v>2</v>
      </c>
      <c r="C19" s="8"/>
      <c r="D19" s="8"/>
      <c r="E19" s="8"/>
      <c r="F19" s="8"/>
      <c r="G19" s="8"/>
      <c r="H19" s="8"/>
      <c r="I19" s="8"/>
      <c r="J19" s="8"/>
      <c r="K19" s="8"/>
      <c r="L19" s="8"/>
      <c r="M19" s="9"/>
    </row>
    <row r="20" spans="1:13">
      <c r="A20" s="42">
        <v>17</v>
      </c>
      <c r="B20" s="7" t="s">
        <v>2</v>
      </c>
      <c r="C20" s="8"/>
      <c r="D20" s="8"/>
      <c r="E20" s="8"/>
      <c r="F20" s="8"/>
      <c r="G20" s="8"/>
      <c r="H20" s="8"/>
      <c r="I20" s="8"/>
      <c r="J20" s="8"/>
      <c r="K20" s="8"/>
      <c r="L20" s="8"/>
      <c r="M20" s="9"/>
    </row>
    <row r="21" spans="1:13">
      <c r="A21" s="42">
        <v>18</v>
      </c>
      <c r="B21" s="7" t="s">
        <v>2</v>
      </c>
      <c r="C21" s="8"/>
      <c r="D21" s="8"/>
      <c r="E21" s="8"/>
      <c r="F21" s="8"/>
      <c r="G21" s="8"/>
      <c r="H21" s="8"/>
      <c r="I21" s="8"/>
      <c r="J21" s="8"/>
      <c r="K21" s="8"/>
      <c r="L21" s="8"/>
      <c r="M21" s="9"/>
    </row>
    <row r="22" spans="1:13">
      <c r="A22" s="42">
        <v>19</v>
      </c>
      <c r="B22" s="7" t="s">
        <v>2</v>
      </c>
      <c r="C22" s="8"/>
      <c r="D22" s="8"/>
      <c r="E22" s="8"/>
      <c r="F22" s="8"/>
      <c r="G22" s="8"/>
      <c r="H22" s="8"/>
      <c r="I22" s="8"/>
      <c r="J22" s="8"/>
      <c r="K22" s="8"/>
      <c r="L22" s="8"/>
      <c r="M22" s="9"/>
    </row>
    <row r="23" spans="1:13">
      <c r="A23" s="42">
        <v>20</v>
      </c>
      <c r="B23" s="7" t="s">
        <v>2</v>
      </c>
      <c r="C23" s="8"/>
      <c r="D23" s="8"/>
      <c r="E23" s="8"/>
      <c r="F23" s="8"/>
      <c r="G23" s="8"/>
      <c r="H23" s="8"/>
      <c r="I23" s="8"/>
      <c r="J23" s="8"/>
      <c r="K23" s="8"/>
      <c r="L23" s="8"/>
      <c r="M23" s="9"/>
    </row>
    <row r="24" spans="1:13">
      <c r="A24" s="42">
        <v>21</v>
      </c>
      <c r="B24" s="7" t="s">
        <v>2</v>
      </c>
      <c r="C24" s="8"/>
      <c r="D24" s="8"/>
      <c r="E24" s="8"/>
      <c r="F24" s="8"/>
      <c r="G24" s="8"/>
      <c r="H24" s="8"/>
      <c r="I24" s="8"/>
      <c r="J24" s="8"/>
      <c r="K24" s="8"/>
      <c r="L24" s="8"/>
      <c r="M24" s="9"/>
    </row>
    <row r="25" spans="1:13">
      <c r="A25" s="42">
        <v>22</v>
      </c>
      <c r="B25" s="7" t="s">
        <v>2</v>
      </c>
      <c r="C25" s="8"/>
      <c r="D25" s="8"/>
      <c r="E25" s="8"/>
      <c r="F25" s="8"/>
      <c r="G25" s="8"/>
      <c r="H25" s="8"/>
      <c r="I25" s="8"/>
      <c r="J25" s="8"/>
      <c r="K25" s="8"/>
      <c r="L25" s="8"/>
      <c r="M25" s="9"/>
    </row>
    <row r="26" spans="1:13">
      <c r="A26" s="42">
        <v>23</v>
      </c>
      <c r="B26" s="7" t="s">
        <v>2</v>
      </c>
      <c r="C26" s="8"/>
      <c r="D26" s="8"/>
      <c r="E26" s="8"/>
      <c r="F26" s="8"/>
      <c r="G26" s="8"/>
      <c r="H26" s="8"/>
      <c r="I26" s="8"/>
      <c r="J26" s="8"/>
      <c r="K26" s="8"/>
      <c r="L26" s="8"/>
      <c r="M26" s="9"/>
    </row>
    <row r="27" spans="1:13">
      <c r="A27" s="42">
        <v>24</v>
      </c>
      <c r="B27" s="7" t="s">
        <v>2</v>
      </c>
      <c r="C27" s="8"/>
      <c r="D27" s="8"/>
      <c r="E27" s="8"/>
      <c r="F27" s="8"/>
      <c r="G27" s="8"/>
      <c r="H27" s="8"/>
      <c r="I27" s="8"/>
      <c r="J27" s="8"/>
      <c r="K27" s="8"/>
      <c r="L27" s="8"/>
      <c r="M27" s="9"/>
    </row>
    <row r="28" spans="1:13">
      <c r="A28" s="42">
        <v>25</v>
      </c>
      <c r="B28" s="7" t="s">
        <v>2</v>
      </c>
      <c r="C28" s="8"/>
      <c r="D28" s="8"/>
      <c r="E28" s="8"/>
      <c r="F28" s="8"/>
      <c r="G28" s="8"/>
      <c r="H28" s="8"/>
      <c r="I28" s="8"/>
      <c r="J28" s="8"/>
      <c r="K28" s="8"/>
      <c r="L28" s="8"/>
      <c r="M28" s="9"/>
    </row>
    <row r="29" spans="1:13">
      <c r="A29" s="42">
        <v>26</v>
      </c>
      <c r="B29" s="7" t="s">
        <v>2</v>
      </c>
      <c r="C29" s="8"/>
      <c r="D29" s="8"/>
      <c r="E29" s="8"/>
      <c r="F29" s="8"/>
      <c r="G29" s="8"/>
      <c r="H29" s="8"/>
      <c r="I29" s="8"/>
      <c r="J29" s="8"/>
      <c r="K29" s="8"/>
      <c r="L29" s="8"/>
      <c r="M29" s="9"/>
    </row>
    <row r="30" spans="1:13">
      <c r="A30" s="42">
        <v>27</v>
      </c>
      <c r="B30" s="7" t="s">
        <v>2</v>
      </c>
      <c r="C30" s="8"/>
      <c r="D30" s="8"/>
      <c r="E30" s="8"/>
      <c r="F30" s="8"/>
      <c r="G30" s="8"/>
      <c r="H30" s="8"/>
      <c r="I30" s="8"/>
      <c r="J30" s="8"/>
      <c r="K30" s="8"/>
      <c r="L30" s="8"/>
      <c r="M30" s="9"/>
    </row>
    <row r="31" spans="1:13">
      <c r="A31" s="42">
        <v>28</v>
      </c>
      <c r="B31" s="7" t="s">
        <v>2</v>
      </c>
      <c r="C31" s="8"/>
      <c r="D31" s="8"/>
      <c r="E31" s="8"/>
      <c r="F31" s="8"/>
      <c r="G31" s="8"/>
      <c r="H31" s="8"/>
      <c r="I31" s="8"/>
      <c r="J31" s="8"/>
      <c r="K31" s="8"/>
      <c r="L31" s="8"/>
      <c r="M31" s="9"/>
    </row>
    <row r="32" spans="1:13">
      <c r="A32" s="42">
        <v>29</v>
      </c>
      <c r="B32" s="7" t="s">
        <v>2</v>
      </c>
      <c r="C32" s="8"/>
      <c r="D32" s="8"/>
      <c r="E32" s="8"/>
      <c r="F32" s="8"/>
      <c r="G32" s="8"/>
      <c r="H32" s="8"/>
      <c r="I32" s="8"/>
      <c r="J32" s="8"/>
      <c r="K32" s="8"/>
      <c r="L32" s="8"/>
      <c r="M32" s="9"/>
    </row>
    <row r="33" spans="1:13">
      <c r="A33" s="42">
        <v>30</v>
      </c>
      <c r="B33" s="7" t="s">
        <v>2</v>
      </c>
      <c r="C33" s="8"/>
      <c r="D33" s="8"/>
      <c r="E33" s="8"/>
      <c r="F33" s="8"/>
      <c r="G33" s="8"/>
      <c r="H33" s="8"/>
      <c r="I33" s="8"/>
      <c r="J33" s="8"/>
      <c r="K33" s="8"/>
      <c r="L33" s="8"/>
      <c r="M33" s="9"/>
    </row>
    <row r="34" spans="1:13">
      <c r="A34" s="43">
        <v>31</v>
      </c>
      <c r="B34" s="10" t="s">
        <v>2</v>
      </c>
      <c r="C34" s="11"/>
      <c r="D34" s="11"/>
      <c r="E34" s="11"/>
      <c r="F34" s="11"/>
      <c r="G34" s="11"/>
      <c r="H34" s="11"/>
      <c r="I34" s="11"/>
      <c r="J34" s="11"/>
      <c r="K34" s="11"/>
      <c r="L34" s="11"/>
      <c r="M34" s="12"/>
    </row>
    <row r="36" spans="1:13" ht="15.75">
      <c r="A36" s="72" t="s">
        <v>29</v>
      </c>
      <c r="B36" s="72"/>
      <c r="C36" s="72"/>
      <c r="D36" s="72"/>
      <c r="E36" s="72"/>
      <c r="F36" s="72"/>
      <c r="G36" s="72"/>
      <c r="H36" s="72"/>
      <c r="I36" s="72"/>
      <c r="J36" s="72"/>
      <c r="K36" s="72"/>
      <c r="L36" s="72"/>
      <c r="M36" s="72"/>
    </row>
    <row r="37" spans="1:13">
      <c r="B37" s="57" t="s">
        <v>17</v>
      </c>
      <c r="C37" s="58" t="s">
        <v>18</v>
      </c>
      <c r="D37" s="58" t="s">
        <v>19</v>
      </c>
      <c r="E37" s="58" t="s">
        <v>20</v>
      </c>
      <c r="F37" s="58" t="s">
        <v>21</v>
      </c>
      <c r="G37" s="58" t="s">
        <v>22</v>
      </c>
      <c r="H37" s="58" t="s">
        <v>23</v>
      </c>
      <c r="I37" s="58" t="s">
        <v>24</v>
      </c>
      <c r="J37" s="58" t="s">
        <v>25</v>
      </c>
      <c r="K37" s="58" t="s">
        <v>26</v>
      </c>
      <c r="L37" s="58" t="s">
        <v>27</v>
      </c>
      <c r="M37" s="59" t="s">
        <v>28</v>
      </c>
    </row>
    <row r="38" spans="1:13">
      <c r="A38" s="41" t="s">
        <v>3</v>
      </c>
      <c r="B38" s="4">
        <f>COUNTIF($B$4:$B$35,"Anchor")</f>
        <v>0</v>
      </c>
      <c r="C38" s="5">
        <f>COUNTIF($C$4:$C$35,"Anchor")</f>
        <v>6</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2" t="s">
        <v>1</v>
      </c>
      <c r="B39" s="7">
        <f>COUNTIF($B$4:$B$35,"At Sea")</f>
        <v>4</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2" t="s">
        <v>2</v>
      </c>
      <c r="B40" s="7">
        <f>COUNTIF($B$4:$B$35,"On Dock")</f>
        <v>27</v>
      </c>
      <c r="C40" s="8">
        <f>COUNTIF($C$4:$C$35,"On Dock")</f>
        <v>9</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2"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3"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0</v>
      </c>
      <c r="L42" s="11">
        <f>COUNTIF($L$4:$L$35,"Yard")</f>
        <v>0</v>
      </c>
      <c r="M42" s="12">
        <f>COUNTIF($M$4:$M$35,"Yard")</f>
        <v>0</v>
      </c>
    </row>
    <row r="43" spans="1:13" ht="15.75" thickBot="1"/>
    <row r="44" spans="1:13" ht="18.75" thickBot="1">
      <c r="A44" s="69" t="s">
        <v>34</v>
      </c>
      <c r="B44" s="70"/>
      <c r="C44" s="70"/>
      <c r="D44" s="70"/>
      <c r="E44" s="70"/>
      <c r="F44" s="70"/>
      <c r="G44" s="70"/>
      <c r="H44" s="70"/>
      <c r="I44" s="70"/>
      <c r="J44" s="70"/>
      <c r="K44" s="70"/>
      <c r="L44" s="70"/>
      <c r="M44" s="71"/>
    </row>
    <row r="46" spans="1:13">
      <c r="B46" s="57" t="s">
        <v>17</v>
      </c>
      <c r="C46" s="58" t="s">
        <v>18</v>
      </c>
      <c r="D46" s="58" t="s">
        <v>19</v>
      </c>
      <c r="E46" s="58" t="s">
        <v>20</v>
      </c>
      <c r="F46" s="58" t="s">
        <v>21</v>
      </c>
      <c r="G46" s="58" t="s">
        <v>22</v>
      </c>
      <c r="H46" s="58" t="s">
        <v>23</v>
      </c>
      <c r="I46" s="58" t="s">
        <v>24</v>
      </c>
      <c r="J46" s="58" t="s">
        <v>25</v>
      </c>
      <c r="K46" s="58" t="s">
        <v>26</v>
      </c>
      <c r="L46" s="58" t="s">
        <v>27</v>
      </c>
      <c r="M46" s="59" t="s">
        <v>28</v>
      </c>
    </row>
    <row r="47" spans="1:13">
      <c r="A47" s="41">
        <v>1</v>
      </c>
      <c r="B47" s="4" t="s">
        <v>1</v>
      </c>
      <c r="C47" s="5" t="s">
        <v>2</v>
      </c>
      <c r="D47" s="5"/>
      <c r="E47" s="5"/>
      <c r="F47" s="5"/>
      <c r="G47" s="5"/>
      <c r="H47" s="5"/>
      <c r="I47" s="5"/>
      <c r="J47" s="5"/>
      <c r="K47" s="5"/>
      <c r="L47" s="5"/>
      <c r="M47" s="6"/>
    </row>
    <row r="48" spans="1:13">
      <c r="A48" s="42">
        <v>2</v>
      </c>
      <c r="B48" s="7" t="s">
        <v>1</v>
      </c>
      <c r="C48" s="8" t="s">
        <v>2</v>
      </c>
      <c r="D48" s="8"/>
      <c r="E48" s="8"/>
      <c r="F48" s="8"/>
      <c r="G48" s="8"/>
      <c r="H48" s="8"/>
      <c r="I48" s="8"/>
      <c r="J48" s="8"/>
      <c r="K48" s="8"/>
      <c r="L48" s="8"/>
      <c r="M48" s="9"/>
    </row>
    <row r="49" spans="1:13">
      <c r="A49" s="42">
        <v>3</v>
      </c>
      <c r="B49" s="7" t="s">
        <v>1</v>
      </c>
      <c r="C49" s="8" t="s">
        <v>2</v>
      </c>
      <c r="D49" s="8"/>
      <c r="E49" s="8"/>
      <c r="F49" s="8"/>
      <c r="G49" s="8"/>
      <c r="H49" s="8"/>
      <c r="I49" s="8"/>
      <c r="J49" s="8"/>
      <c r="K49" s="8"/>
      <c r="L49" s="8"/>
      <c r="M49" s="9"/>
    </row>
    <row r="50" spans="1:13">
      <c r="A50" s="42">
        <v>4</v>
      </c>
      <c r="B50" s="7" t="s">
        <v>1</v>
      </c>
      <c r="C50" s="8" t="s">
        <v>2</v>
      </c>
      <c r="D50" s="8"/>
      <c r="E50" s="8"/>
      <c r="F50" s="8"/>
      <c r="G50" s="8"/>
      <c r="H50" s="8"/>
      <c r="I50" s="8"/>
      <c r="J50" s="8"/>
      <c r="K50" s="8"/>
      <c r="L50" s="8"/>
      <c r="M50" s="9"/>
    </row>
    <row r="51" spans="1:13">
      <c r="A51" s="42">
        <v>5</v>
      </c>
      <c r="B51" s="7" t="s">
        <v>2</v>
      </c>
      <c r="C51" s="8" t="s">
        <v>2</v>
      </c>
      <c r="D51" s="8"/>
      <c r="E51" s="8"/>
      <c r="F51" s="8"/>
      <c r="G51" s="8"/>
      <c r="H51" s="8"/>
      <c r="I51" s="8"/>
      <c r="J51" s="8"/>
      <c r="K51" s="8"/>
      <c r="L51" s="8"/>
      <c r="M51" s="9"/>
    </row>
    <row r="52" spans="1:13">
      <c r="A52" s="42">
        <v>6</v>
      </c>
      <c r="B52" s="7" t="s">
        <v>2</v>
      </c>
      <c r="C52" s="8" t="s">
        <v>2</v>
      </c>
      <c r="D52" s="8"/>
      <c r="E52" s="8"/>
      <c r="F52" s="8"/>
      <c r="G52" s="8"/>
      <c r="H52" s="8"/>
      <c r="I52" s="8"/>
      <c r="J52" s="8"/>
      <c r="K52" s="8"/>
      <c r="L52" s="8"/>
      <c r="M52" s="9"/>
    </row>
    <row r="53" spans="1:13">
      <c r="A53" s="42">
        <v>7</v>
      </c>
      <c r="B53" s="7" t="s">
        <v>2</v>
      </c>
      <c r="C53" s="8" t="s">
        <v>2</v>
      </c>
      <c r="D53" s="8"/>
      <c r="E53" s="8"/>
      <c r="F53" s="8"/>
      <c r="G53" s="8"/>
      <c r="H53" s="8"/>
      <c r="I53" s="8"/>
      <c r="J53" s="8"/>
      <c r="K53" s="8"/>
      <c r="L53" s="8"/>
      <c r="M53" s="9"/>
    </row>
    <row r="54" spans="1:13">
      <c r="A54" s="42">
        <v>8</v>
      </c>
      <c r="B54" s="7" t="s">
        <v>2</v>
      </c>
      <c r="C54" s="8" t="s">
        <v>2</v>
      </c>
      <c r="D54" s="8"/>
      <c r="E54" s="8"/>
      <c r="F54" s="8"/>
      <c r="G54" s="8"/>
      <c r="H54" s="8"/>
      <c r="I54" s="8"/>
      <c r="J54" s="8"/>
      <c r="K54" s="8"/>
      <c r="L54" s="8"/>
      <c r="M54" s="9"/>
    </row>
    <row r="55" spans="1:13">
      <c r="A55" s="42">
        <v>9</v>
      </c>
      <c r="B55" s="7" t="s">
        <v>2</v>
      </c>
      <c r="C55" s="8" t="s">
        <v>2</v>
      </c>
      <c r="D55" s="8"/>
      <c r="E55" s="8"/>
      <c r="F55" s="8"/>
      <c r="G55" s="8"/>
      <c r="H55" s="8"/>
      <c r="I55" s="8"/>
      <c r="J55" s="8"/>
      <c r="K55" s="8"/>
      <c r="L55" s="8"/>
      <c r="M55" s="9"/>
    </row>
    <row r="56" spans="1:13">
      <c r="A56" s="42">
        <v>10</v>
      </c>
      <c r="B56" s="7" t="s">
        <v>2</v>
      </c>
      <c r="C56" s="8" t="s">
        <v>3</v>
      </c>
      <c r="D56" s="8"/>
      <c r="E56" s="8"/>
      <c r="F56" s="8"/>
      <c r="G56" s="8"/>
      <c r="H56" s="8"/>
      <c r="I56" s="8"/>
      <c r="J56" s="8"/>
      <c r="K56" s="8"/>
      <c r="L56" s="8"/>
      <c r="M56" s="9"/>
    </row>
    <row r="57" spans="1:13">
      <c r="A57" s="42">
        <v>11</v>
      </c>
      <c r="B57" s="7" t="s">
        <v>2</v>
      </c>
      <c r="C57" s="8" t="s">
        <v>3</v>
      </c>
      <c r="D57" s="8"/>
      <c r="E57" s="8"/>
      <c r="F57" s="8"/>
      <c r="G57" s="8"/>
      <c r="H57" s="8"/>
      <c r="I57" s="8"/>
      <c r="J57" s="8"/>
      <c r="K57" s="8"/>
      <c r="L57" s="8"/>
      <c r="M57" s="9"/>
    </row>
    <row r="58" spans="1:13">
      <c r="A58" s="42">
        <v>12</v>
      </c>
      <c r="B58" s="7" t="s">
        <v>2</v>
      </c>
      <c r="C58" s="8" t="s">
        <v>3</v>
      </c>
      <c r="D58" s="8"/>
      <c r="E58" s="8"/>
      <c r="F58" s="8"/>
      <c r="G58" s="8"/>
      <c r="H58" s="8"/>
      <c r="I58" s="8"/>
      <c r="J58" s="8"/>
      <c r="K58" s="8"/>
      <c r="L58" s="8"/>
      <c r="M58" s="9"/>
    </row>
    <row r="59" spans="1:13">
      <c r="A59" s="42">
        <v>13</v>
      </c>
      <c r="B59" s="7" t="s">
        <v>2</v>
      </c>
      <c r="C59" s="8" t="s">
        <v>3</v>
      </c>
      <c r="D59" s="8"/>
      <c r="E59" s="8"/>
      <c r="F59" s="8"/>
      <c r="G59" s="8"/>
      <c r="H59" s="8"/>
      <c r="I59" s="8"/>
      <c r="J59" s="8"/>
      <c r="K59" s="8"/>
      <c r="L59" s="8"/>
      <c r="M59" s="9"/>
    </row>
    <row r="60" spans="1:13">
      <c r="A60" s="42">
        <v>14</v>
      </c>
      <c r="B60" s="7" t="s">
        <v>2</v>
      </c>
      <c r="C60" s="8" t="s">
        <v>3</v>
      </c>
      <c r="D60" s="8"/>
      <c r="E60" s="8"/>
      <c r="F60" s="8"/>
      <c r="G60" s="8"/>
      <c r="H60" s="8"/>
      <c r="I60" s="8"/>
      <c r="J60" s="8"/>
      <c r="K60" s="8"/>
      <c r="L60" s="8"/>
      <c r="M60" s="9"/>
    </row>
    <row r="61" spans="1:13">
      <c r="A61" s="42">
        <v>15</v>
      </c>
      <c r="B61" s="7" t="s">
        <v>2</v>
      </c>
      <c r="C61" s="8" t="s">
        <v>3</v>
      </c>
      <c r="D61" s="8"/>
      <c r="E61" s="8"/>
      <c r="F61" s="8"/>
      <c r="G61" s="8"/>
      <c r="H61" s="8"/>
      <c r="I61" s="8"/>
      <c r="J61" s="8"/>
      <c r="K61" s="8"/>
      <c r="L61" s="8"/>
      <c r="M61" s="9"/>
    </row>
    <row r="62" spans="1:13">
      <c r="A62" s="42">
        <v>16</v>
      </c>
      <c r="B62" s="7" t="s">
        <v>2</v>
      </c>
      <c r="C62" s="8"/>
      <c r="D62" s="8"/>
      <c r="E62" s="8"/>
      <c r="F62" s="8"/>
      <c r="G62" s="8"/>
      <c r="H62" s="8"/>
      <c r="I62" s="8"/>
      <c r="J62" s="8"/>
      <c r="K62" s="8"/>
      <c r="L62" s="8"/>
      <c r="M62" s="9"/>
    </row>
    <row r="63" spans="1:13">
      <c r="A63" s="42">
        <v>17</v>
      </c>
      <c r="B63" s="7" t="s">
        <v>2</v>
      </c>
      <c r="C63" s="8"/>
      <c r="D63" s="8"/>
      <c r="E63" s="8"/>
      <c r="F63" s="8"/>
      <c r="G63" s="8"/>
      <c r="H63" s="8"/>
      <c r="I63" s="8"/>
      <c r="J63" s="8"/>
      <c r="K63" s="8"/>
      <c r="L63" s="8"/>
      <c r="M63" s="9"/>
    </row>
    <row r="64" spans="1:13">
      <c r="A64" s="42">
        <v>18</v>
      </c>
      <c r="B64" s="7" t="s">
        <v>2</v>
      </c>
      <c r="C64" s="8"/>
      <c r="D64" s="8"/>
      <c r="E64" s="8"/>
      <c r="F64" s="8"/>
      <c r="G64" s="8"/>
      <c r="H64" s="8"/>
      <c r="I64" s="8"/>
      <c r="J64" s="8"/>
      <c r="K64" s="8"/>
      <c r="L64" s="8"/>
      <c r="M64" s="9"/>
    </row>
    <row r="65" spans="1:13">
      <c r="A65" s="42">
        <v>19</v>
      </c>
      <c r="B65" s="7" t="s">
        <v>2</v>
      </c>
      <c r="C65" s="8"/>
      <c r="D65" s="8"/>
      <c r="E65" s="8"/>
      <c r="F65" s="8"/>
      <c r="G65" s="8"/>
      <c r="H65" s="8"/>
      <c r="I65" s="8"/>
      <c r="J65" s="8"/>
      <c r="K65" s="8"/>
      <c r="L65" s="8"/>
      <c r="M65" s="9"/>
    </row>
    <row r="66" spans="1:13">
      <c r="A66" s="42">
        <v>20</v>
      </c>
      <c r="B66" s="7" t="s">
        <v>2</v>
      </c>
      <c r="C66" s="8"/>
      <c r="D66" s="8"/>
      <c r="E66" s="8"/>
      <c r="F66" s="8"/>
      <c r="G66" s="8"/>
      <c r="H66" s="8"/>
      <c r="I66" s="8"/>
      <c r="J66" s="8"/>
      <c r="K66" s="8"/>
      <c r="L66" s="8"/>
      <c r="M66" s="9"/>
    </row>
    <row r="67" spans="1:13">
      <c r="A67" s="42">
        <v>21</v>
      </c>
      <c r="B67" s="7" t="s">
        <v>2</v>
      </c>
      <c r="C67" s="8"/>
      <c r="D67" s="8"/>
      <c r="E67" s="8"/>
      <c r="F67" s="8"/>
      <c r="G67" s="8"/>
      <c r="H67" s="8"/>
      <c r="I67" s="8"/>
      <c r="J67" s="8"/>
      <c r="K67" s="8"/>
      <c r="L67" s="8"/>
      <c r="M67" s="9"/>
    </row>
    <row r="68" spans="1:13">
      <c r="A68" s="42">
        <v>22</v>
      </c>
      <c r="B68" s="7" t="s">
        <v>2</v>
      </c>
      <c r="C68" s="8"/>
      <c r="D68" s="8"/>
      <c r="E68" s="8"/>
      <c r="F68" s="8"/>
      <c r="G68" s="8"/>
      <c r="H68" s="8"/>
      <c r="I68" s="8"/>
      <c r="J68" s="8"/>
      <c r="K68" s="8"/>
      <c r="L68" s="8"/>
      <c r="M68" s="9"/>
    </row>
    <row r="69" spans="1:13">
      <c r="A69" s="42">
        <v>23</v>
      </c>
      <c r="B69" s="7" t="s">
        <v>2</v>
      </c>
      <c r="C69" s="8"/>
      <c r="D69" s="8"/>
      <c r="E69" s="8"/>
      <c r="F69" s="8"/>
      <c r="G69" s="8"/>
      <c r="H69" s="8"/>
      <c r="I69" s="8"/>
      <c r="J69" s="8"/>
      <c r="K69" s="8"/>
      <c r="L69" s="8"/>
      <c r="M69" s="9"/>
    </row>
    <row r="70" spans="1:13">
      <c r="A70" s="42">
        <v>24</v>
      </c>
      <c r="B70" s="7" t="s">
        <v>2</v>
      </c>
      <c r="C70" s="8"/>
      <c r="D70" s="8"/>
      <c r="E70" s="8"/>
      <c r="F70" s="8"/>
      <c r="G70" s="8"/>
      <c r="H70" s="8"/>
      <c r="I70" s="8"/>
      <c r="J70" s="8"/>
      <c r="K70" s="8"/>
      <c r="L70" s="8"/>
      <c r="M70" s="9"/>
    </row>
    <row r="71" spans="1:13">
      <c r="A71" s="42">
        <v>25</v>
      </c>
      <c r="B71" s="7" t="s">
        <v>2</v>
      </c>
      <c r="C71" s="8"/>
      <c r="D71" s="8"/>
      <c r="E71" s="8"/>
      <c r="F71" s="8"/>
      <c r="G71" s="8"/>
      <c r="H71" s="8"/>
      <c r="I71" s="8"/>
      <c r="J71" s="8"/>
      <c r="K71" s="8"/>
      <c r="L71" s="8"/>
      <c r="M71" s="9"/>
    </row>
    <row r="72" spans="1:13">
      <c r="A72" s="42">
        <v>26</v>
      </c>
      <c r="B72" s="7" t="s">
        <v>2</v>
      </c>
      <c r="C72" s="8"/>
      <c r="D72" s="8"/>
      <c r="E72" s="8"/>
      <c r="F72" s="8"/>
      <c r="G72" s="8"/>
      <c r="H72" s="8"/>
      <c r="I72" s="8"/>
      <c r="J72" s="8"/>
      <c r="K72" s="8"/>
      <c r="L72" s="8"/>
      <c r="M72" s="9"/>
    </row>
    <row r="73" spans="1:13">
      <c r="A73" s="42">
        <v>27</v>
      </c>
      <c r="B73" s="7" t="s">
        <v>2</v>
      </c>
      <c r="C73" s="8"/>
      <c r="D73" s="8"/>
      <c r="E73" s="8"/>
      <c r="F73" s="8"/>
      <c r="G73" s="8"/>
      <c r="H73" s="8"/>
      <c r="I73" s="8"/>
      <c r="J73" s="8"/>
      <c r="K73" s="8"/>
      <c r="L73" s="8"/>
      <c r="M73" s="9"/>
    </row>
    <row r="74" spans="1:13">
      <c r="A74" s="42">
        <v>28</v>
      </c>
      <c r="B74" s="7" t="s">
        <v>2</v>
      </c>
      <c r="C74" s="8"/>
      <c r="D74" s="8"/>
      <c r="E74" s="8"/>
      <c r="F74" s="8"/>
      <c r="G74" s="8"/>
      <c r="H74" s="8"/>
      <c r="I74" s="8"/>
      <c r="J74" s="8"/>
      <c r="K74" s="8"/>
      <c r="L74" s="8"/>
      <c r="M74" s="9"/>
    </row>
    <row r="75" spans="1:13">
      <c r="A75" s="42">
        <v>29</v>
      </c>
      <c r="B75" s="7" t="s">
        <v>2</v>
      </c>
      <c r="C75" s="8"/>
      <c r="D75" s="8"/>
      <c r="E75" s="8"/>
      <c r="F75" s="8"/>
      <c r="G75" s="8"/>
      <c r="H75" s="8"/>
      <c r="I75" s="8"/>
      <c r="J75" s="8"/>
      <c r="K75" s="8"/>
      <c r="L75" s="8"/>
      <c r="M75" s="9"/>
    </row>
    <row r="76" spans="1:13">
      <c r="A76" s="42">
        <v>30</v>
      </c>
      <c r="B76" s="7" t="s">
        <v>2</v>
      </c>
      <c r="C76" s="8"/>
      <c r="D76" s="8"/>
      <c r="E76" s="8"/>
      <c r="F76" s="8"/>
      <c r="G76" s="8"/>
      <c r="H76" s="8"/>
      <c r="I76" s="8"/>
      <c r="J76" s="8"/>
      <c r="K76" s="8"/>
      <c r="L76" s="8"/>
      <c r="M76" s="9"/>
    </row>
    <row r="77" spans="1:13">
      <c r="A77" s="43">
        <v>31</v>
      </c>
      <c r="B77" s="10" t="s">
        <v>2</v>
      </c>
      <c r="C77" s="11"/>
      <c r="D77" s="11"/>
      <c r="E77" s="11"/>
      <c r="F77" s="11"/>
      <c r="G77" s="11"/>
      <c r="H77" s="11"/>
      <c r="I77" s="11"/>
      <c r="J77" s="11"/>
      <c r="K77" s="11"/>
      <c r="L77" s="11"/>
      <c r="M77" s="12"/>
    </row>
    <row r="79" spans="1:13" ht="15.75">
      <c r="A79" s="72" t="s">
        <v>29</v>
      </c>
      <c r="B79" s="72"/>
      <c r="C79" s="72"/>
      <c r="D79" s="72"/>
      <c r="E79" s="72"/>
      <c r="F79" s="72"/>
      <c r="G79" s="72"/>
      <c r="H79" s="72"/>
      <c r="I79" s="72"/>
      <c r="J79" s="72"/>
      <c r="K79" s="72"/>
      <c r="L79" s="72"/>
      <c r="M79" s="72"/>
    </row>
    <row r="80" spans="1:13">
      <c r="B80" s="57" t="s">
        <v>17</v>
      </c>
      <c r="C80" s="58" t="s">
        <v>18</v>
      </c>
      <c r="D80" s="58" t="s">
        <v>19</v>
      </c>
      <c r="E80" s="58" t="s">
        <v>20</v>
      </c>
      <c r="F80" s="58" t="s">
        <v>21</v>
      </c>
      <c r="G80" s="58" t="s">
        <v>22</v>
      </c>
      <c r="H80" s="58" t="s">
        <v>23</v>
      </c>
      <c r="I80" s="58" t="s">
        <v>24</v>
      </c>
      <c r="J80" s="58" t="s">
        <v>25</v>
      </c>
      <c r="K80" s="58" t="s">
        <v>26</v>
      </c>
      <c r="L80" s="58" t="s">
        <v>27</v>
      </c>
      <c r="M80" s="59" t="s">
        <v>28</v>
      </c>
    </row>
    <row r="81" spans="1:13">
      <c r="A81" s="41" t="s">
        <v>3</v>
      </c>
      <c r="B81" s="4">
        <f>COUNTIF($B$46:$B$77,"Anchor")</f>
        <v>0</v>
      </c>
      <c r="C81" s="5">
        <f>COUNTIF($C$46:$C$77,"Anchor")</f>
        <v>6</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2" t="s">
        <v>1</v>
      </c>
      <c r="B82" s="7">
        <f>COUNTIF($B$46:$B$77,"At Sea")</f>
        <v>4</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0</v>
      </c>
    </row>
    <row r="83" spans="1:13">
      <c r="A83" s="42" t="s">
        <v>2</v>
      </c>
      <c r="B83" s="7">
        <f>COUNTIF($B$46:$B$77,"On Dock")</f>
        <v>27</v>
      </c>
      <c r="C83" s="8">
        <f>COUNTIF($C$46:$C$77,"On Dock")</f>
        <v>9</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2"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2"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0</v>
      </c>
      <c r="L85" s="8">
        <f>COUNTIF($L$46:$L$77,"Yard")</f>
        <v>0</v>
      </c>
      <c r="M85" s="9">
        <f>COUNTIF($M$46:$M$77,"Yard")</f>
        <v>0</v>
      </c>
    </row>
    <row r="86" spans="1:13">
      <c r="A86" s="42"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2"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3"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69" t="s">
        <v>52</v>
      </c>
      <c r="B90" s="70"/>
      <c r="C90" s="70"/>
      <c r="D90" s="70"/>
      <c r="E90" s="70"/>
      <c r="F90" s="70"/>
      <c r="G90" s="70"/>
      <c r="H90" s="70"/>
      <c r="I90" s="70"/>
      <c r="J90" s="70"/>
      <c r="K90" s="70"/>
      <c r="L90" s="70"/>
      <c r="M90" s="71"/>
    </row>
    <row r="92" spans="1:13">
      <c r="B92" s="57" t="s">
        <v>17</v>
      </c>
      <c r="C92" s="58" t="s">
        <v>18</v>
      </c>
      <c r="D92" s="58" t="s">
        <v>19</v>
      </c>
      <c r="E92" s="58" t="s">
        <v>20</v>
      </c>
      <c r="F92" s="58" t="s">
        <v>21</v>
      </c>
      <c r="G92" s="58" t="s">
        <v>22</v>
      </c>
      <c r="H92" s="58" t="s">
        <v>23</v>
      </c>
      <c r="I92" s="58" t="s">
        <v>24</v>
      </c>
      <c r="J92" s="58" t="s">
        <v>25</v>
      </c>
      <c r="K92" s="58" t="s">
        <v>26</v>
      </c>
      <c r="L92" s="58" t="s">
        <v>27</v>
      </c>
      <c r="M92" s="59" t="s">
        <v>28</v>
      </c>
    </row>
    <row r="93" spans="1:13">
      <c r="A93" s="41">
        <v>1</v>
      </c>
      <c r="B93" s="4" t="s">
        <v>1</v>
      </c>
      <c r="C93" s="5" t="s">
        <v>2</v>
      </c>
      <c r="D93" s="5"/>
      <c r="E93" s="5"/>
      <c r="F93" s="5"/>
      <c r="G93" s="5"/>
      <c r="H93" s="5"/>
      <c r="I93" s="5"/>
      <c r="J93" s="5"/>
      <c r="K93" s="5"/>
      <c r="L93" s="5"/>
      <c r="M93" s="6"/>
    </row>
    <row r="94" spans="1:13">
      <c r="A94" s="42">
        <v>2</v>
      </c>
      <c r="B94" s="7" t="s">
        <v>1</v>
      </c>
      <c r="C94" s="8" t="s">
        <v>2</v>
      </c>
      <c r="D94" s="8"/>
      <c r="E94" s="8"/>
      <c r="F94" s="8"/>
      <c r="G94" s="8"/>
      <c r="H94" s="8"/>
      <c r="I94" s="8"/>
      <c r="J94" s="8"/>
      <c r="K94" s="8"/>
      <c r="L94" s="8"/>
      <c r="M94" s="9"/>
    </row>
    <row r="95" spans="1:13">
      <c r="A95" s="42">
        <v>3</v>
      </c>
      <c r="B95" s="7" t="s">
        <v>1</v>
      </c>
      <c r="C95" s="8" t="s">
        <v>2</v>
      </c>
      <c r="D95" s="8"/>
      <c r="E95" s="8"/>
      <c r="F95" s="8"/>
      <c r="G95" s="8"/>
      <c r="H95" s="8"/>
      <c r="I95" s="8"/>
      <c r="J95" s="8"/>
      <c r="K95" s="8"/>
      <c r="L95" s="8"/>
      <c r="M95" s="9"/>
    </row>
    <row r="96" spans="1:13">
      <c r="A96" s="42">
        <v>4</v>
      </c>
      <c r="B96" s="7" t="s">
        <v>1</v>
      </c>
      <c r="C96" s="8" t="s">
        <v>2</v>
      </c>
      <c r="D96" s="8"/>
      <c r="E96" s="8"/>
      <c r="F96" s="8"/>
      <c r="G96" s="8"/>
      <c r="H96" s="8"/>
      <c r="I96" s="8"/>
      <c r="J96" s="8"/>
      <c r="K96" s="8"/>
      <c r="L96" s="8"/>
      <c r="M96" s="9"/>
    </row>
    <row r="97" spans="1:13">
      <c r="A97" s="42">
        <v>5</v>
      </c>
      <c r="B97" s="7" t="s">
        <v>2</v>
      </c>
      <c r="C97" s="8" t="s">
        <v>2</v>
      </c>
      <c r="D97" s="8"/>
      <c r="E97" s="8"/>
      <c r="F97" s="8"/>
      <c r="G97" s="8"/>
      <c r="H97" s="8"/>
      <c r="I97" s="8"/>
      <c r="J97" s="8"/>
      <c r="K97" s="8"/>
      <c r="L97" s="8"/>
      <c r="M97" s="9"/>
    </row>
    <row r="98" spans="1:13">
      <c r="A98" s="42">
        <v>6</v>
      </c>
      <c r="B98" s="7" t="s">
        <v>2</v>
      </c>
      <c r="C98" s="8" t="s">
        <v>2</v>
      </c>
      <c r="D98" s="8"/>
      <c r="E98" s="8"/>
      <c r="F98" s="8"/>
      <c r="G98" s="8"/>
      <c r="H98" s="8"/>
      <c r="I98" s="8"/>
      <c r="J98" s="8"/>
      <c r="K98" s="8"/>
      <c r="L98" s="8"/>
      <c r="M98" s="9"/>
    </row>
    <row r="99" spans="1:13">
      <c r="A99" s="42">
        <v>7</v>
      </c>
      <c r="B99" s="7" t="s">
        <v>2</v>
      </c>
      <c r="C99" s="8" t="s">
        <v>2</v>
      </c>
      <c r="D99" s="8"/>
      <c r="E99" s="8"/>
      <c r="F99" s="8"/>
      <c r="G99" s="8"/>
      <c r="H99" s="8"/>
      <c r="I99" s="8"/>
      <c r="J99" s="8"/>
      <c r="K99" s="8"/>
      <c r="L99" s="8"/>
      <c r="M99" s="9"/>
    </row>
    <row r="100" spans="1:13">
      <c r="A100" s="42">
        <v>8</v>
      </c>
      <c r="B100" s="7" t="s">
        <v>2</v>
      </c>
      <c r="C100" s="8" t="s">
        <v>2</v>
      </c>
      <c r="D100" s="8"/>
      <c r="E100" s="8"/>
      <c r="F100" s="8"/>
      <c r="G100" s="8"/>
      <c r="H100" s="8"/>
      <c r="I100" s="8"/>
      <c r="J100" s="8"/>
      <c r="K100" s="8"/>
      <c r="L100" s="8"/>
      <c r="M100" s="9"/>
    </row>
    <row r="101" spans="1:13">
      <c r="A101" s="42">
        <v>9</v>
      </c>
      <c r="B101" s="7" t="s">
        <v>2</v>
      </c>
      <c r="C101" s="8" t="s">
        <v>2</v>
      </c>
      <c r="D101" s="8"/>
      <c r="E101" s="8"/>
      <c r="F101" s="8"/>
      <c r="G101" s="8"/>
      <c r="H101" s="8"/>
      <c r="I101" s="8"/>
      <c r="J101" s="8"/>
      <c r="K101" s="8"/>
      <c r="L101" s="8"/>
      <c r="M101" s="9"/>
    </row>
    <row r="102" spans="1:13">
      <c r="A102" s="42">
        <v>10</v>
      </c>
      <c r="B102" s="7" t="s">
        <v>2</v>
      </c>
      <c r="C102" s="8" t="s">
        <v>3</v>
      </c>
      <c r="D102" s="8"/>
      <c r="E102" s="8"/>
      <c r="F102" s="8"/>
      <c r="G102" s="8"/>
      <c r="H102" s="8"/>
      <c r="I102" s="8"/>
      <c r="J102" s="8"/>
      <c r="K102" s="8"/>
      <c r="L102" s="8"/>
      <c r="M102" s="9"/>
    </row>
    <row r="103" spans="1:13">
      <c r="A103" s="42">
        <v>11</v>
      </c>
      <c r="B103" s="7" t="s">
        <v>2</v>
      </c>
      <c r="C103" s="8" t="s">
        <v>3</v>
      </c>
      <c r="D103" s="8"/>
      <c r="E103" s="8"/>
      <c r="F103" s="8"/>
      <c r="G103" s="8"/>
      <c r="H103" s="8"/>
      <c r="I103" s="8"/>
      <c r="J103" s="8"/>
      <c r="K103" s="8"/>
      <c r="L103" s="8"/>
      <c r="M103" s="9"/>
    </row>
    <row r="104" spans="1:13">
      <c r="A104" s="42">
        <v>12</v>
      </c>
      <c r="B104" s="7" t="s">
        <v>2</v>
      </c>
      <c r="C104" s="8" t="s">
        <v>3</v>
      </c>
      <c r="D104" s="8"/>
      <c r="E104" s="8"/>
      <c r="F104" s="8"/>
      <c r="G104" s="8"/>
      <c r="H104" s="8"/>
      <c r="I104" s="8"/>
      <c r="J104" s="8"/>
      <c r="K104" s="8"/>
      <c r="L104" s="8"/>
      <c r="M104" s="9"/>
    </row>
    <row r="105" spans="1:13">
      <c r="A105" s="42">
        <v>13</v>
      </c>
      <c r="B105" s="7" t="s">
        <v>2</v>
      </c>
      <c r="C105" s="8" t="s">
        <v>3</v>
      </c>
      <c r="D105" s="8"/>
      <c r="E105" s="8"/>
      <c r="F105" s="8"/>
      <c r="G105" s="8"/>
      <c r="H105" s="8"/>
      <c r="I105" s="8"/>
      <c r="J105" s="8"/>
      <c r="K105" s="8"/>
      <c r="L105" s="8"/>
      <c r="M105" s="9"/>
    </row>
    <row r="106" spans="1:13">
      <c r="A106" s="42">
        <v>14</v>
      </c>
      <c r="B106" s="7" t="s">
        <v>2</v>
      </c>
      <c r="C106" s="8" t="s">
        <v>3</v>
      </c>
      <c r="D106" s="8"/>
      <c r="E106" s="8"/>
      <c r="F106" s="8"/>
      <c r="G106" s="8"/>
      <c r="H106" s="8"/>
      <c r="I106" s="8"/>
      <c r="J106" s="8"/>
      <c r="K106" s="8"/>
      <c r="L106" s="8"/>
      <c r="M106" s="9"/>
    </row>
    <row r="107" spans="1:13">
      <c r="A107" s="42">
        <v>15</v>
      </c>
      <c r="B107" s="7" t="s">
        <v>2</v>
      </c>
      <c r="C107" s="8" t="s">
        <v>3</v>
      </c>
      <c r="D107" s="8"/>
      <c r="E107" s="8"/>
      <c r="F107" s="8"/>
      <c r="G107" s="8"/>
      <c r="H107" s="8"/>
      <c r="I107" s="8"/>
      <c r="J107" s="8"/>
      <c r="K107" s="8"/>
      <c r="L107" s="8"/>
      <c r="M107" s="9"/>
    </row>
    <row r="108" spans="1:13">
      <c r="A108" s="42">
        <v>16</v>
      </c>
      <c r="B108" s="7" t="s">
        <v>2</v>
      </c>
      <c r="C108" s="8"/>
      <c r="D108" s="8"/>
      <c r="E108" s="8"/>
      <c r="F108" s="8"/>
      <c r="G108" s="8"/>
      <c r="H108" s="8"/>
      <c r="I108" s="8"/>
      <c r="J108" s="8"/>
      <c r="K108" s="8"/>
      <c r="L108" s="8"/>
      <c r="M108" s="9"/>
    </row>
    <row r="109" spans="1:13">
      <c r="A109" s="42">
        <v>17</v>
      </c>
      <c r="B109" s="7" t="s">
        <v>2</v>
      </c>
      <c r="C109" s="8"/>
      <c r="D109" s="8"/>
      <c r="E109" s="8"/>
      <c r="F109" s="8"/>
      <c r="G109" s="8"/>
      <c r="H109" s="8"/>
      <c r="I109" s="8"/>
      <c r="J109" s="8"/>
      <c r="K109" s="8"/>
      <c r="L109" s="8"/>
      <c r="M109" s="9"/>
    </row>
    <row r="110" spans="1:13">
      <c r="A110" s="42">
        <v>18</v>
      </c>
      <c r="B110" s="7" t="s">
        <v>2</v>
      </c>
      <c r="C110" s="8"/>
      <c r="D110" s="8"/>
      <c r="E110" s="8"/>
      <c r="F110" s="8"/>
      <c r="G110" s="8"/>
      <c r="H110" s="8"/>
      <c r="I110" s="8"/>
      <c r="J110" s="8"/>
      <c r="K110" s="8"/>
      <c r="L110" s="8"/>
      <c r="M110" s="9"/>
    </row>
    <row r="111" spans="1:13">
      <c r="A111" s="42">
        <v>19</v>
      </c>
      <c r="B111" s="7" t="s">
        <v>2</v>
      </c>
      <c r="C111" s="8"/>
      <c r="D111" s="8"/>
      <c r="E111" s="8"/>
      <c r="F111" s="8"/>
      <c r="G111" s="8"/>
      <c r="H111" s="8"/>
      <c r="I111" s="8"/>
      <c r="J111" s="8"/>
      <c r="K111" s="8"/>
      <c r="L111" s="8"/>
      <c r="M111" s="9"/>
    </row>
    <row r="112" spans="1:13">
      <c r="A112" s="42">
        <v>20</v>
      </c>
      <c r="B112" s="7" t="s">
        <v>2</v>
      </c>
      <c r="C112" s="8"/>
      <c r="D112" s="8"/>
      <c r="E112" s="8"/>
      <c r="F112" s="8"/>
      <c r="G112" s="8"/>
      <c r="H112" s="8"/>
      <c r="I112" s="8"/>
      <c r="J112" s="8"/>
      <c r="K112" s="8"/>
      <c r="L112" s="8"/>
      <c r="M112" s="9"/>
    </row>
    <row r="113" spans="1:13">
      <c r="A113" s="42">
        <v>21</v>
      </c>
      <c r="B113" s="7" t="s">
        <v>2</v>
      </c>
      <c r="C113" s="8"/>
      <c r="D113" s="8"/>
      <c r="E113" s="8"/>
      <c r="F113" s="8"/>
      <c r="G113" s="8"/>
      <c r="H113" s="8"/>
      <c r="I113" s="8"/>
      <c r="J113" s="8"/>
      <c r="K113" s="8"/>
      <c r="L113" s="8"/>
      <c r="M113" s="9"/>
    </row>
    <row r="114" spans="1:13">
      <c r="A114" s="42">
        <v>22</v>
      </c>
      <c r="B114" s="7" t="s">
        <v>2</v>
      </c>
      <c r="C114" s="8"/>
      <c r="D114" s="8"/>
      <c r="E114" s="8"/>
      <c r="F114" s="8"/>
      <c r="G114" s="8"/>
      <c r="H114" s="8"/>
      <c r="I114" s="8"/>
      <c r="J114" s="8"/>
      <c r="K114" s="8"/>
      <c r="L114" s="8"/>
      <c r="M114" s="9"/>
    </row>
    <row r="115" spans="1:13">
      <c r="A115" s="42">
        <v>23</v>
      </c>
      <c r="B115" s="7" t="s">
        <v>2</v>
      </c>
      <c r="C115" s="8"/>
      <c r="D115" s="8"/>
      <c r="E115" s="8"/>
      <c r="F115" s="8"/>
      <c r="G115" s="8"/>
      <c r="H115" s="8"/>
      <c r="I115" s="8"/>
      <c r="J115" s="8"/>
      <c r="K115" s="8"/>
      <c r="L115" s="8"/>
      <c r="M115" s="9"/>
    </row>
    <row r="116" spans="1:13">
      <c r="A116" s="42">
        <v>24</v>
      </c>
      <c r="B116" s="7" t="s">
        <v>2</v>
      </c>
      <c r="C116" s="8"/>
      <c r="D116" s="8"/>
      <c r="E116" s="8"/>
      <c r="F116" s="8"/>
      <c r="G116" s="8"/>
      <c r="H116" s="8"/>
      <c r="I116" s="8"/>
      <c r="J116" s="8"/>
      <c r="K116" s="8"/>
      <c r="L116" s="8"/>
      <c r="M116" s="9"/>
    </row>
    <row r="117" spans="1:13">
      <c r="A117" s="42">
        <v>25</v>
      </c>
      <c r="B117" s="7" t="s">
        <v>2</v>
      </c>
      <c r="C117" s="8"/>
      <c r="D117" s="8"/>
      <c r="E117" s="8"/>
      <c r="F117" s="8"/>
      <c r="G117" s="8"/>
      <c r="H117" s="8"/>
      <c r="I117" s="8"/>
      <c r="J117" s="8"/>
      <c r="K117" s="8"/>
      <c r="L117" s="8"/>
      <c r="M117" s="9"/>
    </row>
    <row r="118" spans="1:13">
      <c r="A118" s="42">
        <v>26</v>
      </c>
      <c r="B118" s="7" t="s">
        <v>2</v>
      </c>
      <c r="C118" s="8"/>
      <c r="D118" s="8"/>
      <c r="E118" s="8"/>
      <c r="F118" s="8"/>
      <c r="G118" s="8"/>
      <c r="H118" s="8"/>
      <c r="I118" s="8"/>
      <c r="J118" s="8"/>
      <c r="K118" s="8"/>
      <c r="L118" s="8"/>
      <c r="M118" s="9"/>
    </row>
    <row r="119" spans="1:13">
      <c r="A119" s="42">
        <v>27</v>
      </c>
      <c r="B119" s="7" t="s">
        <v>2</v>
      </c>
      <c r="C119" s="8"/>
      <c r="D119" s="8"/>
      <c r="E119" s="8"/>
      <c r="F119" s="8"/>
      <c r="G119" s="8"/>
      <c r="H119" s="8"/>
      <c r="I119" s="8"/>
      <c r="J119" s="8"/>
      <c r="K119" s="8"/>
      <c r="L119" s="8"/>
      <c r="M119" s="9"/>
    </row>
    <row r="120" spans="1:13">
      <c r="A120" s="42">
        <v>28</v>
      </c>
      <c r="B120" s="7" t="s">
        <v>2</v>
      </c>
      <c r="C120" s="8"/>
      <c r="D120" s="8"/>
      <c r="E120" s="8"/>
      <c r="F120" s="8"/>
      <c r="G120" s="8"/>
      <c r="H120" s="8"/>
      <c r="I120" s="8"/>
      <c r="J120" s="8"/>
      <c r="K120" s="8"/>
      <c r="L120" s="8"/>
      <c r="M120" s="9"/>
    </row>
    <row r="121" spans="1:13">
      <c r="A121" s="42">
        <v>29</v>
      </c>
      <c r="B121" s="7" t="s">
        <v>2</v>
      </c>
      <c r="C121" s="8"/>
      <c r="D121" s="8"/>
      <c r="E121" s="8"/>
      <c r="F121" s="8"/>
      <c r="G121" s="8"/>
      <c r="H121" s="8"/>
      <c r="I121" s="8"/>
      <c r="J121" s="8"/>
      <c r="K121" s="8"/>
      <c r="L121" s="8"/>
      <c r="M121" s="9"/>
    </row>
    <row r="122" spans="1:13">
      <c r="A122" s="42">
        <v>30</v>
      </c>
      <c r="B122" s="7" t="s">
        <v>2</v>
      </c>
      <c r="C122" s="8"/>
      <c r="D122" s="8"/>
      <c r="E122" s="8"/>
      <c r="F122" s="8"/>
      <c r="G122" s="8"/>
      <c r="H122" s="8"/>
      <c r="I122" s="8"/>
      <c r="J122" s="8"/>
      <c r="K122" s="8"/>
      <c r="L122" s="8"/>
      <c r="M122" s="9"/>
    </row>
    <row r="123" spans="1:13">
      <c r="A123" s="43">
        <v>31</v>
      </c>
      <c r="B123" s="10" t="s">
        <v>2</v>
      </c>
      <c r="C123" s="11"/>
      <c r="D123" s="11"/>
      <c r="E123" s="11"/>
      <c r="F123" s="11"/>
      <c r="G123" s="11"/>
      <c r="H123" s="11"/>
      <c r="I123" s="11"/>
      <c r="J123" s="11"/>
      <c r="K123" s="11"/>
      <c r="L123" s="11"/>
      <c r="M123" s="12"/>
    </row>
    <row r="125" spans="1:13" ht="15.75">
      <c r="A125" s="72" t="s">
        <v>29</v>
      </c>
      <c r="B125" s="72"/>
      <c r="C125" s="72"/>
      <c r="D125" s="72"/>
      <c r="E125" s="72"/>
      <c r="F125" s="72"/>
      <c r="G125" s="72"/>
      <c r="H125" s="72"/>
      <c r="I125" s="72"/>
      <c r="J125" s="72"/>
      <c r="K125" s="72"/>
      <c r="L125" s="72"/>
      <c r="M125" s="72"/>
    </row>
    <row r="126" spans="1:13">
      <c r="B126" s="57" t="s">
        <v>17</v>
      </c>
      <c r="C126" s="58" t="s">
        <v>18</v>
      </c>
      <c r="D126" s="58" t="s">
        <v>19</v>
      </c>
      <c r="E126" s="58" t="s">
        <v>20</v>
      </c>
      <c r="F126" s="58" t="s">
        <v>21</v>
      </c>
      <c r="G126" s="58" t="s">
        <v>22</v>
      </c>
      <c r="H126" s="58" t="s">
        <v>23</v>
      </c>
      <c r="I126" s="58" t="s">
        <v>24</v>
      </c>
      <c r="J126" s="58" t="s">
        <v>25</v>
      </c>
      <c r="K126" s="58" t="s">
        <v>26</v>
      </c>
      <c r="L126" s="58" t="s">
        <v>27</v>
      </c>
      <c r="M126" s="59" t="s">
        <v>28</v>
      </c>
    </row>
    <row r="127" spans="1:13">
      <c r="A127" s="41" t="s">
        <v>3</v>
      </c>
      <c r="B127" s="4">
        <f>COUNTIF($B$92:$B$123,"Anchor")</f>
        <v>0</v>
      </c>
      <c r="C127" s="5">
        <f>COUNTIF($C$92:$C$123,"Anchor")</f>
        <v>6</v>
      </c>
      <c r="D127" s="5">
        <f>COUNTIF($D$92:$D$123,"Anchor")</f>
        <v>0</v>
      </c>
      <c r="E127" s="5">
        <f>COUNTIF($E$92:$E$123,"Anchor")</f>
        <v>0</v>
      </c>
      <c r="F127" s="5">
        <f>COUNTIF($F$92:$F$123,"Anchor")</f>
        <v>0</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2" t="s">
        <v>1</v>
      </c>
      <c r="B128" s="7">
        <f>COUNTIF($B$92:$B$123,"At Sea")</f>
        <v>4</v>
      </c>
      <c r="C128" s="8">
        <f>COUNTIF($C$92:$C$123,"At Sea")</f>
        <v>0</v>
      </c>
      <c r="D128" s="8">
        <f>COUNTIF($D$92:$D$123,"At Sea")</f>
        <v>0</v>
      </c>
      <c r="E128" s="8">
        <f>COUNTIF($E$92:$E$123,"At Sea")</f>
        <v>0</v>
      </c>
      <c r="F128" s="8">
        <f>COUNTIF($F$92:$F$123,"At Sea")</f>
        <v>0</v>
      </c>
      <c r="G128" s="8">
        <f>COUNTIF($G$92:$G$123,"At Sea")</f>
        <v>0</v>
      </c>
      <c r="H128" s="8">
        <f>COUNTIF($H$92:$H$123,"At Sea")</f>
        <v>0</v>
      </c>
      <c r="I128" s="8">
        <f>COUNTIF($I$92:$I$123,"At Sea")</f>
        <v>0</v>
      </c>
      <c r="J128" s="8">
        <f>COUNTIF($J$92:$J$123,"At Sea")</f>
        <v>0</v>
      </c>
      <c r="K128" s="8">
        <f>COUNTIF($K$92:$K$123,"At Sea")</f>
        <v>0</v>
      </c>
      <c r="L128" s="8">
        <f>COUNTIF($L$92:$L$123,"At Sea")</f>
        <v>0</v>
      </c>
      <c r="M128" s="9">
        <f>COUNTIF($M$92:$M$123,"At Sea")</f>
        <v>0</v>
      </c>
    </row>
    <row r="129" spans="1:13">
      <c r="A129" s="42" t="s">
        <v>2</v>
      </c>
      <c r="B129" s="7">
        <f>COUNTIF($B$92:$B$123,"On Dock")</f>
        <v>27</v>
      </c>
      <c r="C129" s="8">
        <f>COUNTIF($C$92:$C$123,"On Dock")</f>
        <v>9</v>
      </c>
      <c r="D129" s="8">
        <f>COUNTIF($D$92:$D$123,"On Dock")</f>
        <v>0</v>
      </c>
      <c r="E129" s="8">
        <f>COUNTIF($E$92:$E$123,"On Dock")</f>
        <v>0</v>
      </c>
      <c r="F129" s="8">
        <f>COUNTIF($F$92:$F$123,"On Dock")</f>
        <v>0</v>
      </c>
      <c r="G129" s="8">
        <f>COUNTIF($G$92:$G$123,"On Dock")</f>
        <v>0</v>
      </c>
      <c r="H129" s="8">
        <f>COUNTIF($H$92:$H$123,"On Dock")</f>
        <v>0</v>
      </c>
      <c r="I129" s="8">
        <f>COUNTIF($I$92:$I$123,"On Dock")</f>
        <v>0</v>
      </c>
      <c r="J129" s="8">
        <f>COUNTIF($J$92:$J$123,"On Dock")</f>
        <v>0</v>
      </c>
      <c r="K129" s="8">
        <f>COUNTIF($K$92:$K$123,"On Dock")</f>
        <v>0</v>
      </c>
      <c r="L129" s="8">
        <f>COUNTIF($L$92:$L$123,"On Dock")</f>
        <v>0</v>
      </c>
      <c r="M129" s="9">
        <f>COUNTIF($M$92:$M$123,"On Dock")</f>
        <v>0</v>
      </c>
    </row>
    <row r="130" spans="1:13">
      <c r="A130" s="42" t="s">
        <v>51</v>
      </c>
      <c r="B130" s="7">
        <f>COUNTIF($B$92:$B$123,"Standby")</f>
        <v>0</v>
      </c>
      <c r="C130" s="8">
        <f>COUNTIF($C$92:$C$123,"Standby")</f>
        <v>0</v>
      </c>
      <c r="D130" s="8">
        <f>COUNTIF($D$92:$D$123,"Standby")</f>
        <v>0</v>
      </c>
      <c r="E130" s="8">
        <f>COUNTIF($E$92:$E$123,"Standby")</f>
        <v>0</v>
      </c>
      <c r="F130" s="8">
        <f>COUNTIF($F$92:$F$123,"Standby")</f>
        <v>0</v>
      </c>
      <c r="G130" s="8">
        <f>COUNTIF($G$92:$G$123,"Standby")</f>
        <v>0</v>
      </c>
      <c r="H130" s="8">
        <f>COUNTIF($H$92:$H$123,"Standby")</f>
        <v>0</v>
      </c>
      <c r="I130" s="8">
        <f>COUNTIF($I$92:$I$123,"Standby")</f>
        <v>0</v>
      </c>
      <c r="J130" s="8">
        <f>COUNTIF($J$92:$J$123,"Standby")</f>
        <v>0</v>
      </c>
      <c r="K130" s="8">
        <f>COUNTIF($K$92:$K$123,"Standby")</f>
        <v>0</v>
      </c>
      <c r="L130" s="8">
        <f>COUNTIF($L$92:$L$123,"Standby")</f>
        <v>0</v>
      </c>
      <c r="M130" s="9">
        <f>COUNTIF($M$92:$M$123,"Standby")</f>
        <v>0</v>
      </c>
    </row>
    <row r="131" spans="1:13">
      <c r="A131" s="42" t="s">
        <v>4</v>
      </c>
      <c r="B131" s="7">
        <f>COUNTIF($B$92:$B$123,"Yard")</f>
        <v>0</v>
      </c>
      <c r="C131" s="8">
        <f>COUNTIF($C$92:$C$123,"Yard")</f>
        <v>0</v>
      </c>
      <c r="D131" s="8">
        <f>COUNTIF($D$92:$D$123,"Yard")</f>
        <v>0</v>
      </c>
      <c r="E131" s="8">
        <f>COUNTIF($E$92:$E$123,"Yard")</f>
        <v>0</v>
      </c>
      <c r="F131" s="8">
        <f>COUNTIF($F$92:$F$123,"Yard")</f>
        <v>0</v>
      </c>
      <c r="G131" s="8">
        <f>COUNTIF($G$92:$G$123,"Yard")</f>
        <v>0</v>
      </c>
      <c r="H131" s="8">
        <f>COUNTIF($H$92:$H$123,"Yard")</f>
        <v>0</v>
      </c>
      <c r="I131" s="8">
        <f>COUNTIF($I$92:$I$123,"Yard")</f>
        <v>0</v>
      </c>
      <c r="J131" s="8">
        <f>COUNTIF($J$92:$J$123,"Yard")</f>
        <v>0</v>
      </c>
      <c r="K131" s="8">
        <f>COUNTIF($K$92:$K$123,"Yard")</f>
        <v>0</v>
      </c>
      <c r="L131" s="8">
        <f>COUNTIF($L$92:$L$123,"Yard")</f>
        <v>0</v>
      </c>
      <c r="M131" s="9">
        <f>COUNTIF($M$92:$M$123,"Yard")</f>
        <v>0</v>
      </c>
    </row>
    <row r="132" spans="1:13">
      <c r="A132" s="42"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2"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3"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34"/>
  <sheetViews>
    <sheetView showGridLines="0" view="pageLayout" topLeftCell="A73"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7" t="s">
        <v>17</v>
      </c>
      <c r="C3" s="58" t="s">
        <v>18</v>
      </c>
      <c r="D3" s="58" t="s">
        <v>19</v>
      </c>
      <c r="E3" s="58" t="s">
        <v>20</v>
      </c>
      <c r="F3" s="58" t="s">
        <v>21</v>
      </c>
      <c r="G3" s="58" t="s">
        <v>22</v>
      </c>
      <c r="H3" s="58" t="s">
        <v>23</v>
      </c>
      <c r="I3" s="58" t="s">
        <v>24</v>
      </c>
      <c r="J3" s="58" t="s">
        <v>25</v>
      </c>
      <c r="K3" s="58" t="s">
        <v>26</v>
      </c>
      <c r="L3" s="58" t="s">
        <v>27</v>
      </c>
      <c r="M3" s="59" t="s">
        <v>28</v>
      </c>
    </row>
    <row r="4" spans="1:13">
      <c r="A4" s="41">
        <v>1</v>
      </c>
      <c r="B4" s="4" t="s">
        <v>1</v>
      </c>
      <c r="C4" s="5" t="s">
        <v>2</v>
      </c>
      <c r="D4" s="5" t="s">
        <v>2</v>
      </c>
      <c r="E4" s="5" t="s">
        <v>51</v>
      </c>
      <c r="F4" s="5" t="s">
        <v>4</v>
      </c>
      <c r="G4" s="5" t="s">
        <v>2</v>
      </c>
      <c r="H4" s="5" t="s">
        <v>1</v>
      </c>
      <c r="I4" s="5" t="s">
        <v>1</v>
      </c>
      <c r="J4" s="5" t="s">
        <v>4</v>
      </c>
      <c r="K4" s="5" t="s">
        <v>4</v>
      </c>
      <c r="L4" s="5" t="s">
        <v>4</v>
      </c>
      <c r="M4" s="6" t="s">
        <v>2</v>
      </c>
    </row>
    <row r="5" spans="1:13">
      <c r="A5" s="42">
        <v>2</v>
      </c>
      <c r="B5" s="7" t="s">
        <v>1</v>
      </c>
      <c r="C5" s="8" t="s">
        <v>2</v>
      </c>
      <c r="D5" s="8" t="s">
        <v>2</v>
      </c>
      <c r="E5" s="8" t="s">
        <v>1</v>
      </c>
      <c r="F5" s="8" t="s">
        <v>4</v>
      </c>
      <c r="G5" s="8" t="s">
        <v>2</v>
      </c>
      <c r="H5" s="8" t="s">
        <v>1</v>
      </c>
      <c r="I5" s="8" t="s">
        <v>1</v>
      </c>
      <c r="J5" s="8" t="s">
        <v>4</v>
      </c>
      <c r="K5" s="8" t="s">
        <v>4</v>
      </c>
      <c r="L5" s="8" t="s">
        <v>4</v>
      </c>
      <c r="M5" s="9" t="s">
        <v>2</v>
      </c>
    </row>
    <row r="6" spans="1:13">
      <c r="A6" s="42">
        <v>3</v>
      </c>
      <c r="B6" s="7" t="s">
        <v>1</v>
      </c>
      <c r="C6" s="8" t="s">
        <v>2</v>
      </c>
      <c r="D6" s="8" t="s">
        <v>2</v>
      </c>
      <c r="E6" s="8" t="s">
        <v>1</v>
      </c>
      <c r="F6" s="8" t="s">
        <v>4</v>
      </c>
      <c r="G6" s="8" t="s">
        <v>2</v>
      </c>
      <c r="H6" s="8" t="s">
        <v>1</v>
      </c>
      <c r="I6" s="8" t="s">
        <v>51</v>
      </c>
      <c r="J6" s="8" t="s">
        <v>4</v>
      </c>
      <c r="K6" s="8" t="s">
        <v>4</v>
      </c>
      <c r="L6" s="8" t="s">
        <v>4</v>
      </c>
      <c r="M6" s="9" t="s">
        <v>2</v>
      </c>
    </row>
    <row r="7" spans="1:13">
      <c r="A7" s="42">
        <v>4</v>
      </c>
      <c r="B7" s="7" t="s">
        <v>1</v>
      </c>
      <c r="C7" s="8" t="s">
        <v>2</v>
      </c>
      <c r="D7" s="8" t="s">
        <v>2</v>
      </c>
      <c r="E7" s="8" t="s">
        <v>1</v>
      </c>
      <c r="F7" s="8" t="s">
        <v>4</v>
      </c>
      <c r="G7" s="8" t="s">
        <v>2</v>
      </c>
      <c r="H7" s="8" t="s">
        <v>1</v>
      </c>
      <c r="I7" s="8" t="s">
        <v>51</v>
      </c>
      <c r="J7" s="8" t="s">
        <v>4</v>
      </c>
      <c r="K7" s="8" t="s">
        <v>4</v>
      </c>
      <c r="L7" s="8" t="s">
        <v>4</v>
      </c>
      <c r="M7" s="9" t="s">
        <v>2</v>
      </c>
    </row>
    <row r="8" spans="1:13">
      <c r="A8" s="42">
        <v>5</v>
      </c>
      <c r="B8" s="7" t="s">
        <v>1</v>
      </c>
      <c r="C8" s="8" t="s">
        <v>2</v>
      </c>
      <c r="D8" s="8" t="s">
        <v>2</v>
      </c>
      <c r="E8" s="8" t="s">
        <v>1</v>
      </c>
      <c r="F8" s="8" t="s">
        <v>4</v>
      </c>
      <c r="G8" s="8" t="s">
        <v>2</v>
      </c>
      <c r="H8" s="8" t="s">
        <v>1</v>
      </c>
      <c r="I8" s="8" t="s">
        <v>1</v>
      </c>
      <c r="J8" s="8" t="s">
        <v>4</v>
      </c>
      <c r="K8" s="8" t="s">
        <v>4</v>
      </c>
      <c r="L8" s="8" t="s">
        <v>1</v>
      </c>
      <c r="M8" s="9" t="s">
        <v>2</v>
      </c>
    </row>
    <row r="9" spans="1:13">
      <c r="A9" s="42">
        <v>6</v>
      </c>
      <c r="B9" s="7" t="s">
        <v>1</v>
      </c>
      <c r="C9" s="8" t="s">
        <v>2</v>
      </c>
      <c r="D9" s="8" t="s">
        <v>2</v>
      </c>
      <c r="E9" s="8" t="s">
        <v>1</v>
      </c>
      <c r="F9" s="8" t="s">
        <v>4</v>
      </c>
      <c r="G9" s="8" t="s">
        <v>2</v>
      </c>
      <c r="H9" s="8" t="s">
        <v>1</v>
      </c>
      <c r="I9" s="8" t="s">
        <v>1</v>
      </c>
      <c r="J9" s="8" t="s">
        <v>4</v>
      </c>
      <c r="K9" s="8" t="s">
        <v>4</v>
      </c>
      <c r="L9" s="8" t="s">
        <v>1</v>
      </c>
      <c r="M9" s="9" t="s">
        <v>2</v>
      </c>
    </row>
    <row r="10" spans="1:13">
      <c r="A10" s="42">
        <v>7</v>
      </c>
      <c r="B10" s="7" t="s">
        <v>1</v>
      </c>
      <c r="C10" s="8" t="s">
        <v>2</v>
      </c>
      <c r="D10" s="8" t="s">
        <v>2</v>
      </c>
      <c r="E10" s="8" t="s">
        <v>1</v>
      </c>
      <c r="F10" s="8" t="s">
        <v>1</v>
      </c>
      <c r="G10" s="8" t="s">
        <v>2</v>
      </c>
      <c r="H10" s="8" t="s">
        <v>1</v>
      </c>
      <c r="I10" s="8" t="s">
        <v>1</v>
      </c>
      <c r="J10" s="8" t="s">
        <v>4</v>
      </c>
      <c r="K10" s="8" t="s">
        <v>4</v>
      </c>
      <c r="L10" s="8" t="s">
        <v>1</v>
      </c>
      <c r="M10" s="9" t="s">
        <v>2</v>
      </c>
    </row>
    <row r="11" spans="1:13">
      <c r="A11" s="42">
        <v>8</v>
      </c>
      <c r="B11" s="7" t="s">
        <v>1</v>
      </c>
      <c r="C11" s="8" t="s">
        <v>2</v>
      </c>
      <c r="D11" s="8" t="s">
        <v>2</v>
      </c>
      <c r="E11" s="8" t="s">
        <v>1</v>
      </c>
      <c r="F11" s="8" t="s">
        <v>1</v>
      </c>
      <c r="G11" s="8" t="s">
        <v>2</v>
      </c>
      <c r="H11" s="8" t="s">
        <v>1</v>
      </c>
      <c r="I11" s="8" t="s">
        <v>1</v>
      </c>
      <c r="J11" s="8" t="s">
        <v>4</v>
      </c>
      <c r="K11" s="8" t="s">
        <v>4</v>
      </c>
      <c r="L11" s="8" t="s">
        <v>1</v>
      </c>
      <c r="M11" s="9" t="s">
        <v>2</v>
      </c>
    </row>
    <row r="12" spans="1:13">
      <c r="A12" s="42">
        <v>9</v>
      </c>
      <c r="B12" s="7" t="s">
        <v>1</v>
      </c>
      <c r="C12" s="8" t="s">
        <v>2</v>
      </c>
      <c r="D12" s="8" t="s">
        <v>2</v>
      </c>
      <c r="E12" s="8" t="s">
        <v>1</v>
      </c>
      <c r="F12" s="8" t="s">
        <v>1</v>
      </c>
      <c r="G12" s="8" t="s">
        <v>2</v>
      </c>
      <c r="H12" s="8" t="s">
        <v>1</v>
      </c>
      <c r="I12" s="8" t="s">
        <v>1</v>
      </c>
      <c r="J12" s="8" t="s">
        <v>4</v>
      </c>
      <c r="K12" s="8" t="s">
        <v>4</v>
      </c>
      <c r="L12" s="8" t="s">
        <v>1</v>
      </c>
      <c r="M12" s="9" t="s">
        <v>2</v>
      </c>
    </row>
    <row r="13" spans="1:13">
      <c r="A13" s="42">
        <v>10</v>
      </c>
      <c r="B13" s="7" t="s">
        <v>1</v>
      </c>
      <c r="C13" s="8" t="s">
        <v>2</v>
      </c>
      <c r="D13" s="8" t="s">
        <v>2</v>
      </c>
      <c r="E13" s="8" t="s">
        <v>1</v>
      </c>
      <c r="F13" s="8" t="s">
        <v>1</v>
      </c>
      <c r="G13" s="8" t="s">
        <v>2</v>
      </c>
      <c r="H13" s="8" t="s">
        <v>1</v>
      </c>
      <c r="I13" s="8" t="s">
        <v>1</v>
      </c>
      <c r="J13" s="8" t="s">
        <v>4</v>
      </c>
      <c r="K13" s="8" t="s">
        <v>4</v>
      </c>
      <c r="L13" s="8" t="s">
        <v>1</v>
      </c>
      <c r="M13" s="9" t="s">
        <v>2</v>
      </c>
    </row>
    <row r="14" spans="1:13">
      <c r="A14" s="42">
        <v>11</v>
      </c>
      <c r="B14" s="7" t="s">
        <v>3</v>
      </c>
      <c r="C14" s="8" t="s">
        <v>2</v>
      </c>
      <c r="D14" s="8" t="s">
        <v>2</v>
      </c>
      <c r="E14" s="8" t="s">
        <v>1</v>
      </c>
      <c r="F14" s="8" t="s">
        <v>1</v>
      </c>
      <c r="G14" s="8" t="s">
        <v>2</v>
      </c>
      <c r="H14" s="8" t="s">
        <v>1</v>
      </c>
      <c r="I14" s="8" t="s">
        <v>1</v>
      </c>
      <c r="J14" s="8" t="s">
        <v>4</v>
      </c>
      <c r="K14" s="8" t="s">
        <v>4</v>
      </c>
      <c r="L14" s="8" t="s">
        <v>1</v>
      </c>
      <c r="M14" s="9" t="s">
        <v>2</v>
      </c>
    </row>
    <row r="15" spans="1:13">
      <c r="A15" s="42">
        <v>12</v>
      </c>
      <c r="B15" s="7" t="s">
        <v>2</v>
      </c>
      <c r="C15" s="8" t="s">
        <v>1</v>
      </c>
      <c r="D15" s="8" t="s">
        <v>1</v>
      </c>
      <c r="E15" s="8" t="s">
        <v>1</v>
      </c>
      <c r="F15" s="8" t="s">
        <v>1</v>
      </c>
      <c r="G15" s="8" t="s">
        <v>2</v>
      </c>
      <c r="H15" s="8" t="s">
        <v>1</v>
      </c>
      <c r="I15" s="8" t="s">
        <v>1</v>
      </c>
      <c r="J15" s="8" t="s">
        <v>4</v>
      </c>
      <c r="K15" s="8" t="s">
        <v>4</v>
      </c>
      <c r="L15" s="8" t="s">
        <v>1</v>
      </c>
      <c r="M15" s="9" t="s">
        <v>2</v>
      </c>
    </row>
    <row r="16" spans="1:13">
      <c r="A16" s="42">
        <v>13</v>
      </c>
      <c r="B16" s="7" t="s">
        <v>2</v>
      </c>
      <c r="C16" s="8" t="s">
        <v>1</v>
      </c>
      <c r="D16" s="8" t="s">
        <v>1</v>
      </c>
      <c r="E16" s="8" t="s">
        <v>1</v>
      </c>
      <c r="F16" s="8" t="s">
        <v>1</v>
      </c>
      <c r="G16" s="8" t="s">
        <v>2</v>
      </c>
      <c r="H16" s="8" t="s">
        <v>1</v>
      </c>
      <c r="I16" s="8" t="s">
        <v>1</v>
      </c>
      <c r="J16" s="8" t="s">
        <v>4</v>
      </c>
      <c r="K16" s="8" t="s">
        <v>4</v>
      </c>
      <c r="L16" s="8" t="s">
        <v>51</v>
      </c>
      <c r="M16" s="9" t="s">
        <v>2</v>
      </c>
    </row>
    <row r="17" spans="1:13">
      <c r="A17" s="42">
        <v>14</v>
      </c>
      <c r="B17" s="7" t="s">
        <v>2</v>
      </c>
      <c r="C17" s="8" t="s">
        <v>1</v>
      </c>
      <c r="D17" s="8" t="s">
        <v>1</v>
      </c>
      <c r="E17" s="8" t="s">
        <v>1</v>
      </c>
      <c r="F17" s="8" t="s">
        <v>1</v>
      </c>
      <c r="G17" s="8" t="s">
        <v>2</v>
      </c>
      <c r="H17" s="8" t="s">
        <v>1</v>
      </c>
      <c r="I17" s="8" t="s">
        <v>1</v>
      </c>
      <c r="J17" s="8" t="s">
        <v>4</v>
      </c>
      <c r="K17" s="8" t="s">
        <v>4</v>
      </c>
      <c r="L17" s="8" t="s">
        <v>1</v>
      </c>
      <c r="M17" s="9" t="s">
        <v>2</v>
      </c>
    </row>
    <row r="18" spans="1:13">
      <c r="A18" s="42">
        <v>15</v>
      </c>
      <c r="B18" s="7" t="s">
        <v>2</v>
      </c>
      <c r="C18" s="8" t="s">
        <v>1</v>
      </c>
      <c r="D18" s="8" t="s">
        <v>1</v>
      </c>
      <c r="E18" s="8" t="s">
        <v>1</v>
      </c>
      <c r="F18" s="8" t="s">
        <v>1</v>
      </c>
      <c r="G18" s="8" t="s">
        <v>2</v>
      </c>
      <c r="H18" s="8" t="s">
        <v>1</v>
      </c>
      <c r="I18" s="8" t="s">
        <v>1</v>
      </c>
      <c r="J18" s="8" t="s">
        <v>4</v>
      </c>
      <c r="K18" s="8" t="s">
        <v>4</v>
      </c>
      <c r="L18" s="8" t="s">
        <v>1</v>
      </c>
      <c r="M18" s="9" t="s">
        <v>2</v>
      </c>
    </row>
    <row r="19" spans="1:13">
      <c r="A19" s="42">
        <v>16</v>
      </c>
      <c r="B19" s="7" t="s">
        <v>2</v>
      </c>
      <c r="C19" s="8" t="s">
        <v>1</v>
      </c>
      <c r="D19" s="8" t="s">
        <v>1</v>
      </c>
      <c r="E19" s="8" t="s">
        <v>1</v>
      </c>
      <c r="F19" s="8" t="s">
        <v>1</v>
      </c>
      <c r="G19" s="8" t="s">
        <v>2</v>
      </c>
      <c r="H19" s="8" t="s">
        <v>1</v>
      </c>
      <c r="I19" s="8" t="s">
        <v>1</v>
      </c>
      <c r="J19" s="8" t="s">
        <v>4</v>
      </c>
      <c r="K19" s="8" t="s">
        <v>4</v>
      </c>
      <c r="L19" s="8" t="s">
        <v>1</v>
      </c>
      <c r="M19" s="9" t="s">
        <v>2</v>
      </c>
    </row>
    <row r="20" spans="1:13">
      <c r="A20" s="42">
        <v>17</v>
      </c>
      <c r="B20" s="7" t="s">
        <v>2</v>
      </c>
      <c r="C20" s="8" t="s">
        <v>1</v>
      </c>
      <c r="D20" s="8" t="s">
        <v>1</v>
      </c>
      <c r="E20" s="8" t="s">
        <v>4</v>
      </c>
      <c r="F20" s="8" t="s">
        <v>1</v>
      </c>
      <c r="G20" s="8" t="s">
        <v>2</v>
      </c>
      <c r="H20" s="8" t="s">
        <v>1</v>
      </c>
      <c r="I20" s="8" t="s">
        <v>51</v>
      </c>
      <c r="J20" s="8" t="s">
        <v>4</v>
      </c>
      <c r="K20" s="8" t="s">
        <v>4</v>
      </c>
      <c r="L20" s="8" t="s">
        <v>1</v>
      </c>
      <c r="M20" s="9" t="s">
        <v>2</v>
      </c>
    </row>
    <row r="21" spans="1:13">
      <c r="A21" s="42">
        <v>18</v>
      </c>
      <c r="B21" s="7" t="s">
        <v>2</v>
      </c>
      <c r="C21" s="8" t="s">
        <v>1</v>
      </c>
      <c r="D21" s="8" t="s">
        <v>1</v>
      </c>
      <c r="E21" s="8" t="s">
        <v>4</v>
      </c>
      <c r="F21" s="8" t="s">
        <v>1</v>
      </c>
      <c r="G21" s="8" t="s">
        <v>2</v>
      </c>
      <c r="H21" s="8" t="s">
        <v>1</v>
      </c>
      <c r="I21" s="8" t="s">
        <v>1</v>
      </c>
      <c r="J21" s="8" t="s">
        <v>4</v>
      </c>
      <c r="K21" s="8" t="s">
        <v>4</v>
      </c>
      <c r="L21" s="8" t="s">
        <v>1</v>
      </c>
      <c r="M21" s="9" t="s">
        <v>2</v>
      </c>
    </row>
    <row r="22" spans="1:13">
      <c r="A22" s="42">
        <v>19</v>
      </c>
      <c r="B22" s="7" t="s">
        <v>2</v>
      </c>
      <c r="C22" s="8" t="s">
        <v>1</v>
      </c>
      <c r="D22" s="8" t="s">
        <v>1</v>
      </c>
      <c r="E22" s="8" t="s">
        <v>4</v>
      </c>
      <c r="F22" s="8" t="s">
        <v>1</v>
      </c>
      <c r="G22" s="8" t="s">
        <v>2</v>
      </c>
      <c r="H22" s="8" t="s">
        <v>1</v>
      </c>
      <c r="I22" s="8" t="s">
        <v>1</v>
      </c>
      <c r="J22" s="8" t="s">
        <v>4</v>
      </c>
      <c r="K22" s="8" t="s">
        <v>4</v>
      </c>
      <c r="L22" s="8" t="s">
        <v>1</v>
      </c>
      <c r="M22" s="9" t="s">
        <v>2</v>
      </c>
    </row>
    <row r="23" spans="1:13">
      <c r="A23" s="42">
        <v>20</v>
      </c>
      <c r="B23" s="7" t="s">
        <v>2</v>
      </c>
      <c r="C23" s="8" t="s">
        <v>1</v>
      </c>
      <c r="D23" s="8" t="s">
        <v>1</v>
      </c>
      <c r="E23" s="8" t="s">
        <v>4</v>
      </c>
      <c r="F23" s="8" t="s">
        <v>3</v>
      </c>
      <c r="G23" s="8" t="s">
        <v>2</v>
      </c>
      <c r="H23" s="8" t="s">
        <v>1</v>
      </c>
      <c r="I23" s="8" t="s">
        <v>1</v>
      </c>
      <c r="J23" s="8" t="s">
        <v>4</v>
      </c>
      <c r="K23" s="8" t="s">
        <v>4</v>
      </c>
      <c r="L23" s="8" t="s">
        <v>1</v>
      </c>
      <c r="M23" s="9" t="s">
        <v>2</v>
      </c>
    </row>
    <row r="24" spans="1:13">
      <c r="A24" s="42">
        <v>21</v>
      </c>
      <c r="B24" s="7" t="s">
        <v>2</v>
      </c>
      <c r="C24" s="8" t="s">
        <v>1</v>
      </c>
      <c r="D24" s="8" t="s">
        <v>1</v>
      </c>
      <c r="E24" s="8" t="s">
        <v>4</v>
      </c>
      <c r="F24" s="8" t="s">
        <v>3</v>
      </c>
      <c r="G24" s="8" t="s">
        <v>2</v>
      </c>
      <c r="H24" s="8" t="s">
        <v>1</v>
      </c>
      <c r="I24" s="8" t="s">
        <v>1</v>
      </c>
      <c r="J24" s="8" t="s">
        <v>4</v>
      </c>
      <c r="K24" s="8" t="s">
        <v>4</v>
      </c>
      <c r="L24" s="8" t="s">
        <v>1</v>
      </c>
      <c r="M24" s="9" t="s">
        <v>1</v>
      </c>
    </row>
    <row r="25" spans="1:13">
      <c r="A25" s="42">
        <v>22</v>
      </c>
      <c r="B25" s="7" t="s">
        <v>2</v>
      </c>
      <c r="C25" s="8" t="s">
        <v>1</v>
      </c>
      <c r="D25" s="8" t="s">
        <v>1</v>
      </c>
      <c r="E25" s="8" t="s">
        <v>4</v>
      </c>
      <c r="F25" s="8" t="s">
        <v>3</v>
      </c>
      <c r="G25" s="8" t="s">
        <v>2</v>
      </c>
      <c r="H25" s="8" t="s">
        <v>1</v>
      </c>
      <c r="I25" s="8" t="s">
        <v>1</v>
      </c>
      <c r="J25" s="8" t="s">
        <v>4</v>
      </c>
      <c r="K25" s="8" t="s">
        <v>4</v>
      </c>
      <c r="L25" s="8" t="s">
        <v>1</v>
      </c>
      <c r="M25" s="9" t="s">
        <v>1</v>
      </c>
    </row>
    <row r="26" spans="1:13">
      <c r="A26" s="42">
        <v>23</v>
      </c>
      <c r="B26" s="7" t="s">
        <v>2</v>
      </c>
      <c r="C26" s="8" t="s">
        <v>1</v>
      </c>
      <c r="D26" s="8" t="s">
        <v>1</v>
      </c>
      <c r="E26" s="8" t="s">
        <v>4</v>
      </c>
      <c r="F26" s="8" t="s">
        <v>3</v>
      </c>
      <c r="G26" s="8" t="s">
        <v>2</v>
      </c>
      <c r="H26" s="8" t="s">
        <v>1</v>
      </c>
      <c r="I26" s="8" t="s">
        <v>1</v>
      </c>
      <c r="J26" s="8" t="s">
        <v>4</v>
      </c>
      <c r="K26" s="8" t="s">
        <v>4</v>
      </c>
      <c r="L26" s="8" t="s">
        <v>1</v>
      </c>
      <c r="M26" s="9" t="s">
        <v>1</v>
      </c>
    </row>
    <row r="27" spans="1:13">
      <c r="A27" s="42">
        <v>24</v>
      </c>
      <c r="B27" s="7" t="s">
        <v>2</v>
      </c>
      <c r="C27" s="8" t="s">
        <v>1</v>
      </c>
      <c r="D27" s="8" t="s">
        <v>1</v>
      </c>
      <c r="E27" s="8" t="s">
        <v>4</v>
      </c>
      <c r="F27" s="8" t="s">
        <v>3</v>
      </c>
      <c r="G27" s="8" t="s">
        <v>1</v>
      </c>
      <c r="H27" s="8" t="s">
        <v>1</v>
      </c>
      <c r="I27" s="8" t="s">
        <v>1</v>
      </c>
      <c r="J27" s="8" t="s">
        <v>4</v>
      </c>
      <c r="K27" s="8" t="s">
        <v>4</v>
      </c>
      <c r="L27" s="8" t="s">
        <v>2</v>
      </c>
      <c r="M27" s="9" t="s">
        <v>1</v>
      </c>
    </row>
    <row r="28" spans="1:13">
      <c r="A28" s="42">
        <v>25</v>
      </c>
      <c r="B28" s="7" t="s">
        <v>2</v>
      </c>
      <c r="C28" s="8" t="s">
        <v>1</v>
      </c>
      <c r="D28" s="8" t="s">
        <v>1</v>
      </c>
      <c r="E28" s="8" t="s">
        <v>4</v>
      </c>
      <c r="F28" s="8" t="s">
        <v>3</v>
      </c>
      <c r="G28" s="8" t="s">
        <v>1</v>
      </c>
      <c r="H28" s="8" t="s">
        <v>1</v>
      </c>
      <c r="I28" s="8" t="s">
        <v>1</v>
      </c>
      <c r="J28" s="8" t="s">
        <v>4</v>
      </c>
      <c r="K28" s="8" t="s">
        <v>4</v>
      </c>
      <c r="L28" s="8" t="s">
        <v>2</v>
      </c>
      <c r="M28" s="9" t="s">
        <v>1</v>
      </c>
    </row>
    <row r="29" spans="1:13">
      <c r="A29" s="42">
        <v>26</v>
      </c>
      <c r="B29" s="7" t="s">
        <v>2</v>
      </c>
      <c r="C29" s="8" t="s">
        <v>1</v>
      </c>
      <c r="D29" s="8" t="s">
        <v>1</v>
      </c>
      <c r="E29" s="8" t="s">
        <v>4</v>
      </c>
      <c r="F29" s="8" t="s">
        <v>3</v>
      </c>
      <c r="G29" s="8" t="s">
        <v>1</v>
      </c>
      <c r="H29" s="8" t="s">
        <v>1</v>
      </c>
      <c r="I29" s="8" t="s">
        <v>1</v>
      </c>
      <c r="J29" s="8" t="s">
        <v>4</v>
      </c>
      <c r="K29" s="8" t="s">
        <v>4</v>
      </c>
      <c r="L29" s="8" t="s">
        <v>2</v>
      </c>
      <c r="M29" s="9" t="s">
        <v>1</v>
      </c>
    </row>
    <row r="30" spans="1:13">
      <c r="A30" s="42">
        <v>27</v>
      </c>
      <c r="B30" s="7" t="s">
        <v>2</v>
      </c>
      <c r="C30" s="8" t="s">
        <v>1</v>
      </c>
      <c r="D30" s="8" t="s">
        <v>1</v>
      </c>
      <c r="E30" s="8" t="s">
        <v>4</v>
      </c>
      <c r="F30" s="8" t="s">
        <v>2</v>
      </c>
      <c r="G30" s="8" t="s">
        <v>1</v>
      </c>
      <c r="H30" s="8" t="s">
        <v>1</v>
      </c>
      <c r="I30" s="8" t="s">
        <v>4</v>
      </c>
      <c r="J30" s="8" t="s">
        <v>4</v>
      </c>
      <c r="K30" s="8" t="s">
        <v>4</v>
      </c>
      <c r="L30" s="8" t="s">
        <v>2</v>
      </c>
      <c r="M30" s="9" t="s">
        <v>1</v>
      </c>
    </row>
    <row r="31" spans="1:13">
      <c r="A31" s="42">
        <v>28</v>
      </c>
      <c r="B31" s="7" t="s">
        <v>2</v>
      </c>
      <c r="C31" s="8" t="s">
        <v>1</v>
      </c>
      <c r="D31" s="8" t="s">
        <v>1</v>
      </c>
      <c r="E31" s="8" t="s">
        <v>4</v>
      </c>
      <c r="F31" s="8" t="s">
        <v>2</v>
      </c>
      <c r="G31" s="8" t="s">
        <v>1</v>
      </c>
      <c r="H31" s="8" t="s">
        <v>1</v>
      </c>
      <c r="I31" s="8" t="s">
        <v>4</v>
      </c>
      <c r="J31" s="8" t="s">
        <v>4</v>
      </c>
      <c r="K31" s="8" t="s">
        <v>4</v>
      </c>
      <c r="L31" s="8" t="s">
        <v>2</v>
      </c>
      <c r="M31" s="9" t="s">
        <v>1</v>
      </c>
    </row>
    <row r="32" spans="1:13">
      <c r="A32" s="42">
        <v>29</v>
      </c>
      <c r="B32" s="7" t="s">
        <v>2</v>
      </c>
      <c r="C32" s="8"/>
      <c r="D32" s="8" t="s">
        <v>51</v>
      </c>
      <c r="E32" s="8" t="s">
        <v>4</v>
      </c>
      <c r="F32" s="8" t="s">
        <v>1</v>
      </c>
      <c r="G32" s="8" t="s">
        <v>1</v>
      </c>
      <c r="H32" s="8" t="s">
        <v>1</v>
      </c>
      <c r="I32" s="8" t="s">
        <v>4</v>
      </c>
      <c r="J32" s="8" t="s">
        <v>4</v>
      </c>
      <c r="K32" s="8" t="s">
        <v>4</v>
      </c>
      <c r="L32" s="8" t="s">
        <v>2</v>
      </c>
      <c r="M32" s="9" t="s">
        <v>1</v>
      </c>
    </row>
    <row r="33" spans="1:13">
      <c r="A33" s="42">
        <v>30</v>
      </c>
      <c r="B33" s="7" t="s">
        <v>2</v>
      </c>
      <c r="C33" s="8"/>
      <c r="D33" s="8" t="s">
        <v>51</v>
      </c>
      <c r="E33" s="8" t="s">
        <v>4</v>
      </c>
      <c r="F33" s="8" t="s">
        <v>1</v>
      </c>
      <c r="G33" s="8" t="s">
        <v>1</v>
      </c>
      <c r="H33" s="8" t="s">
        <v>1</v>
      </c>
      <c r="I33" s="8" t="s">
        <v>4</v>
      </c>
      <c r="J33" s="8" t="s">
        <v>4</v>
      </c>
      <c r="K33" s="8" t="s">
        <v>4</v>
      </c>
      <c r="L33" s="8" t="s">
        <v>2</v>
      </c>
      <c r="M33" s="9" t="s">
        <v>1</v>
      </c>
    </row>
    <row r="34" spans="1:13">
      <c r="A34" s="43">
        <v>31</v>
      </c>
      <c r="B34" s="10" t="s">
        <v>2</v>
      </c>
      <c r="C34" s="11"/>
      <c r="D34" s="11" t="s">
        <v>51</v>
      </c>
      <c r="E34" s="11"/>
      <c r="F34" s="11" t="s">
        <v>2</v>
      </c>
      <c r="G34" s="11"/>
      <c r="H34" s="11" t="s">
        <v>1</v>
      </c>
      <c r="I34" s="11" t="s">
        <v>4</v>
      </c>
      <c r="J34" s="11"/>
      <c r="K34" s="11" t="s">
        <v>4</v>
      </c>
      <c r="L34" s="11"/>
      <c r="M34" s="12" t="s">
        <v>1</v>
      </c>
    </row>
    <row r="36" spans="1:13" ht="15.75">
      <c r="A36" s="72" t="s">
        <v>29</v>
      </c>
      <c r="B36" s="72"/>
      <c r="C36" s="72"/>
      <c r="D36" s="72"/>
      <c r="E36" s="72"/>
      <c r="F36" s="72"/>
      <c r="G36" s="72"/>
      <c r="H36" s="72"/>
      <c r="I36" s="72"/>
      <c r="J36" s="72"/>
      <c r="K36" s="72"/>
      <c r="L36" s="72"/>
      <c r="M36" s="72"/>
    </row>
    <row r="37" spans="1:13">
      <c r="B37" s="57" t="s">
        <v>17</v>
      </c>
      <c r="C37" s="58" t="s">
        <v>18</v>
      </c>
      <c r="D37" s="58" t="s">
        <v>19</v>
      </c>
      <c r="E37" s="58" t="s">
        <v>20</v>
      </c>
      <c r="F37" s="58" t="s">
        <v>21</v>
      </c>
      <c r="G37" s="58" t="s">
        <v>22</v>
      </c>
      <c r="H37" s="58" t="s">
        <v>23</v>
      </c>
      <c r="I37" s="58" t="s">
        <v>24</v>
      </c>
      <c r="J37" s="58" t="s">
        <v>25</v>
      </c>
      <c r="K37" s="58" t="s">
        <v>26</v>
      </c>
      <c r="L37" s="58" t="s">
        <v>27</v>
      </c>
      <c r="M37" s="59" t="s">
        <v>28</v>
      </c>
    </row>
    <row r="38" spans="1:13">
      <c r="A38" s="41" t="s">
        <v>3</v>
      </c>
      <c r="B38" s="4">
        <f>COUNTIF($B$4:$B$35,"Anchor")</f>
        <v>1</v>
      </c>
      <c r="C38" s="5">
        <f>COUNTIF($C$4:$C$35,"Anchor")</f>
        <v>0</v>
      </c>
      <c r="D38" s="5">
        <f>COUNTIF($D$4:$D$35,"Anchor")</f>
        <v>0</v>
      </c>
      <c r="E38" s="5">
        <f>COUNTIF($E$4:$E$35,"Anchor")</f>
        <v>0</v>
      </c>
      <c r="F38" s="5">
        <f>COUNTIF($F$4:$F$35,"Anchor")</f>
        <v>7</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2" t="s">
        <v>1</v>
      </c>
      <c r="B39" s="7">
        <f>COUNTIF($B$4:$B$35,"At Sea")</f>
        <v>10</v>
      </c>
      <c r="C39" s="8">
        <f>COUNTIF($C$4:$C$35,"At Sea")</f>
        <v>17</v>
      </c>
      <c r="D39" s="8">
        <f>COUNTIF($D$4:$D$35,"At Sea")</f>
        <v>17</v>
      </c>
      <c r="E39" s="8">
        <f>COUNTIF($E$4:$E$35,"At Sea")</f>
        <v>15</v>
      </c>
      <c r="F39" s="8">
        <f>COUNTIF($F$4:$F$35,"At Sea")</f>
        <v>15</v>
      </c>
      <c r="G39" s="8">
        <f>COUNTIF($G$4:$G$35,"At Sea")</f>
        <v>7</v>
      </c>
      <c r="H39" s="8">
        <f>COUNTIF($H$4:$H$35,"At Sea")</f>
        <v>31</v>
      </c>
      <c r="I39" s="8">
        <f>COUNTIF($I$4:$I$35,"At Sea")</f>
        <v>23</v>
      </c>
      <c r="J39" s="8">
        <f>COUNTIF($J$4:$J$35,"At Sea")</f>
        <v>0</v>
      </c>
      <c r="K39" s="8">
        <f>COUNTIF($K$4:$K$35,"At Sea")</f>
        <v>0</v>
      </c>
      <c r="L39" s="8">
        <f>COUNTIF($L$4:$L$35,"At Sea")</f>
        <v>18</v>
      </c>
      <c r="M39" s="9">
        <f>COUNTIF($M$4:$M$35,"At Sea")</f>
        <v>11</v>
      </c>
    </row>
    <row r="40" spans="1:13">
      <c r="A40" s="42" t="s">
        <v>2</v>
      </c>
      <c r="B40" s="7">
        <f>COUNTIF($B$4:$B$35,"On Dock")</f>
        <v>20</v>
      </c>
      <c r="C40" s="8">
        <f>COUNTIF($C$4:$C$35,"On Dock")</f>
        <v>11</v>
      </c>
      <c r="D40" s="8">
        <f>COUNTIF($D$4:$D$35,"On Dock")</f>
        <v>11</v>
      </c>
      <c r="E40" s="8">
        <f>COUNTIF($E$4:$E$35,"On Dock")</f>
        <v>0</v>
      </c>
      <c r="F40" s="8">
        <f>COUNTIF($F$4:$F$35,"On Dock")</f>
        <v>3</v>
      </c>
      <c r="G40" s="8">
        <f>COUNTIF($G$4:$G$35,"On Dock")</f>
        <v>23</v>
      </c>
      <c r="H40" s="8">
        <f>COUNTIF($H$4:$H$35,"On Dock")</f>
        <v>0</v>
      </c>
      <c r="I40" s="8">
        <f>COUNTIF($I$4:$I$35,"On Dock")</f>
        <v>0</v>
      </c>
      <c r="J40" s="8">
        <f>COUNTIF($J$4:$J$35,"On Dock")</f>
        <v>0</v>
      </c>
      <c r="K40" s="8">
        <f>COUNTIF($K$4:$K$35,"On Dock")</f>
        <v>0</v>
      </c>
      <c r="L40" s="8">
        <f>COUNTIF($L$4:$L$35,"On Dock")</f>
        <v>7</v>
      </c>
      <c r="M40" s="9">
        <f>COUNTIF($M$4:$M$35,"On Dock")</f>
        <v>20</v>
      </c>
    </row>
    <row r="41" spans="1:13">
      <c r="A41" s="42" t="s">
        <v>51</v>
      </c>
      <c r="B41" s="7">
        <f>COUNTIF($B$4:$B$35,"Standby")</f>
        <v>0</v>
      </c>
      <c r="C41" s="8">
        <f>COUNTIF($C$4:$C$35,"Standby")</f>
        <v>0</v>
      </c>
      <c r="D41" s="8">
        <f>COUNTIF($D$4:$D$35,"Standby")</f>
        <v>3</v>
      </c>
      <c r="E41" s="8">
        <f>COUNTIF($E$4:$E$35,"Standby")</f>
        <v>1</v>
      </c>
      <c r="F41" s="8">
        <f>COUNTIF($F$4:$F$35,"Standby")</f>
        <v>0</v>
      </c>
      <c r="G41" s="8">
        <f>COUNTIF($G$4:$G$35,"Standby")</f>
        <v>0</v>
      </c>
      <c r="H41" s="8">
        <f>COUNTIF($H$4:$H$35,"Standby")</f>
        <v>0</v>
      </c>
      <c r="I41" s="8">
        <f>COUNTIF($I$4:$I$35,"Standby")</f>
        <v>3</v>
      </c>
      <c r="J41" s="8">
        <f>COUNTIF($J$4:$J$35,"Standby")</f>
        <v>0</v>
      </c>
      <c r="K41" s="8">
        <f>COUNTIF($K$4:$K$35,"Standby")</f>
        <v>0</v>
      </c>
      <c r="L41" s="8">
        <f>COUNTIF($L$4:$L$35,"Standby")</f>
        <v>1</v>
      </c>
      <c r="M41" s="9">
        <f>COUNTIF($M$4:$M$35,"Standby")</f>
        <v>0</v>
      </c>
    </row>
    <row r="42" spans="1:13">
      <c r="A42" s="43" t="s">
        <v>4</v>
      </c>
      <c r="B42" s="10">
        <f>COUNTIF($B$4:$B$35,"Yard")</f>
        <v>0</v>
      </c>
      <c r="C42" s="11">
        <f>COUNTIF($C$4:$C$35,"Yard")</f>
        <v>0</v>
      </c>
      <c r="D42" s="11">
        <f>COUNTIF($D$4:$D$35,"Yard")</f>
        <v>0</v>
      </c>
      <c r="E42" s="11">
        <f>COUNTIF($E$4:$E$35,"Yard")</f>
        <v>14</v>
      </c>
      <c r="F42" s="11">
        <f>COUNTIF($F$4:$F$35,"Yard")</f>
        <v>6</v>
      </c>
      <c r="G42" s="11">
        <f>COUNTIF($G$4:$G$35,"Yard")</f>
        <v>0</v>
      </c>
      <c r="H42" s="11">
        <f>COUNTIF($H$4:$H$35,"Yard")</f>
        <v>0</v>
      </c>
      <c r="I42" s="11">
        <f>COUNTIF($I$4:$I$35,"Yard")</f>
        <v>5</v>
      </c>
      <c r="J42" s="11">
        <f>COUNTIF($J$4:$J$35,"Yard")</f>
        <v>30</v>
      </c>
      <c r="K42" s="11">
        <f>COUNTIF($K$4:$K$35,"Yard")</f>
        <v>31</v>
      </c>
      <c r="L42" s="11">
        <f>COUNTIF($L$4:$L$35,"Yard")</f>
        <v>4</v>
      </c>
      <c r="M42" s="12">
        <f>COUNTIF($M$4:$M$35,"Yard")</f>
        <v>0</v>
      </c>
    </row>
    <row r="43" spans="1:13" ht="15.75" thickBot="1"/>
    <row r="44" spans="1:13" ht="18.75" thickBot="1">
      <c r="A44" s="69" t="s">
        <v>34</v>
      </c>
      <c r="B44" s="70"/>
      <c r="C44" s="70"/>
      <c r="D44" s="70"/>
      <c r="E44" s="70"/>
      <c r="F44" s="70"/>
      <c r="G44" s="70"/>
      <c r="H44" s="70"/>
      <c r="I44" s="70"/>
      <c r="J44" s="70"/>
      <c r="K44" s="70"/>
      <c r="L44" s="70"/>
      <c r="M44" s="71"/>
    </row>
    <row r="46" spans="1:13">
      <c r="B46" s="57" t="s">
        <v>17</v>
      </c>
      <c r="C46" s="58" t="s">
        <v>18</v>
      </c>
      <c r="D46" s="58" t="s">
        <v>19</v>
      </c>
      <c r="E46" s="58" t="s">
        <v>20</v>
      </c>
      <c r="F46" s="58" t="s">
        <v>21</v>
      </c>
      <c r="G46" s="58" t="s">
        <v>22</v>
      </c>
      <c r="H46" s="58" t="s">
        <v>23</v>
      </c>
      <c r="I46" s="58" t="s">
        <v>24</v>
      </c>
      <c r="J46" s="58" t="s">
        <v>25</v>
      </c>
      <c r="K46" s="58" t="s">
        <v>26</v>
      </c>
      <c r="L46" s="58" t="s">
        <v>27</v>
      </c>
      <c r="M46" s="59" t="s">
        <v>28</v>
      </c>
    </row>
    <row r="47" spans="1:13">
      <c r="A47" s="41">
        <v>1</v>
      </c>
      <c r="B47" s="4" t="s">
        <v>1</v>
      </c>
      <c r="C47" s="5" t="s">
        <v>2</v>
      </c>
      <c r="D47" s="5" t="s">
        <v>2</v>
      </c>
      <c r="E47" s="5" t="s">
        <v>51</v>
      </c>
      <c r="F47" s="5" t="s">
        <v>4</v>
      </c>
      <c r="G47" s="5" t="s">
        <v>2</v>
      </c>
      <c r="H47" s="5" t="s">
        <v>1</v>
      </c>
      <c r="I47" s="5" t="s">
        <v>1</v>
      </c>
      <c r="J47" s="5" t="s">
        <v>4</v>
      </c>
      <c r="K47" s="5" t="s">
        <v>4</v>
      </c>
      <c r="L47" s="5" t="s">
        <v>4</v>
      </c>
      <c r="M47" s="6" t="s">
        <v>2</v>
      </c>
    </row>
    <row r="48" spans="1:13">
      <c r="A48" s="42">
        <v>2</v>
      </c>
      <c r="B48" s="7" t="s">
        <v>1</v>
      </c>
      <c r="C48" s="8" t="s">
        <v>2</v>
      </c>
      <c r="D48" s="8" t="s">
        <v>2</v>
      </c>
      <c r="E48" s="8" t="s">
        <v>1</v>
      </c>
      <c r="F48" s="8" t="s">
        <v>4</v>
      </c>
      <c r="G48" s="8" t="s">
        <v>2</v>
      </c>
      <c r="H48" s="8" t="s">
        <v>1</v>
      </c>
      <c r="I48" s="8" t="s">
        <v>1</v>
      </c>
      <c r="J48" s="8" t="s">
        <v>4</v>
      </c>
      <c r="K48" s="8" t="s">
        <v>4</v>
      </c>
      <c r="L48" s="8" t="s">
        <v>4</v>
      </c>
      <c r="M48" s="9" t="s">
        <v>2</v>
      </c>
    </row>
    <row r="49" spans="1:13">
      <c r="A49" s="42">
        <v>3</v>
      </c>
      <c r="B49" s="7" t="s">
        <v>1</v>
      </c>
      <c r="C49" s="8" t="s">
        <v>2</v>
      </c>
      <c r="D49" s="8" t="s">
        <v>2</v>
      </c>
      <c r="E49" s="8" t="s">
        <v>1</v>
      </c>
      <c r="F49" s="8" t="s">
        <v>4</v>
      </c>
      <c r="G49" s="8" t="s">
        <v>2</v>
      </c>
      <c r="H49" s="8" t="s">
        <v>1</v>
      </c>
      <c r="I49" s="8" t="s">
        <v>51</v>
      </c>
      <c r="J49" s="8" t="s">
        <v>4</v>
      </c>
      <c r="K49" s="8" t="s">
        <v>4</v>
      </c>
      <c r="L49" s="8" t="s">
        <v>4</v>
      </c>
      <c r="M49" s="9" t="s">
        <v>2</v>
      </c>
    </row>
    <row r="50" spans="1:13">
      <c r="A50" s="42">
        <v>4</v>
      </c>
      <c r="B50" s="7" t="s">
        <v>1</v>
      </c>
      <c r="C50" s="8" t="s">
        <v>2</v>
      </c>
      <c r="D50" s="8" t="s">
        <v>2</v>
      </c>
      <c r="E50" s="8" t="s">
        <v>1</v>
      </c>
      <c r="F50" s="8" t="s">
        <v>4</v>
      </c>
      <c r="G50" s="8" t="s">
        <v>2</v>
      </c>
      <c r="H50" s="8" t="s">
        <v>1</v>
      </c>
      <c r="I50" s="8" t="s">
        <v>51</v>
      </c>
      <c r="J50" s="8" t="s">
        <v>4</v>
      </c>
      <c r="K50" s="8" t="s">
        <v>4</v>
      </c>
      <c r="L50" s="8" t="s">
        <v>4</v>
      </c>
      <c r="M50" s="9" t="s">
        <v>2</v>
      </c>
    </row>
    <row r="51" spans="1:13">
      <c r="A51" s="42">
        <v>5</v>
      </c>
      <c r="B51" s="7" t="s">
        <v>1</v>
      </c>
      <c r="C51" s="8" t="s">
        <v>2</v>
      </c>
      <c r="D51" s="8" t="s">
        <v>2</v>
      </c>
      <c r="E51" s="8" t="s">
        <v>1</v>
      </c>
      <c r="F51" s="8" t="s">
        <v>4</v>
      </c>
      <c r="G51" s="8" t="s">
        <v>2</v>
      </c>
      <c r="H51" s="8" t="s">
        <v>1</v>
      </c>
      <c r="I51" s="8" t="s">
        <v>1</v>
      </c>
      <c r="J51" s="8" t="s">
        <v>4</v>
      </c>
      <c r="K51" s="8" t="s">
        <v>4</v>
      </c>
      <c r="L51" s="8" t="s">
        <v>1</v>
      </c>
      <c r="M51" s="9" t="s">
        <v>2</v>
      </c>
    </row>
    <row r="52" spans="1:13">
      <c r="A52" s="42">
        <v>6</v>
      </c>
      <c r="B52" s="7" t="s">
        <v>1</v>
      </c>
      <c r="C52" s="8" t="s">
        <v>2</v>
      </c>
      <c r="D52" s="8" t="s">
        <v>2</v>
      </c>
      <c r="E52" s="8" t="s">
        <v>1</v>
      </c>
      <c r="F52" s="8" t="s">
        <v>4</v>
      </c>
      <c r="G52" s="8" t="s">
        <v>2</v>
      </c>
      <c r="H52" s="8" t="s">
        <v>1</v>
      </c>
      <c r="I52" s="8" t="s">
        <v>1</v>
      </c>
      <c r="J52" s="8" t="s">
        <v>4</v>
      </c>
      <c r="K52" s="8" t="s">
        <v>4</v>
      </c>
      <c r="L52" s="8" t="s">
        <v>1</v>
      </c>
      <c r="M52" s="9" t="s">
        <v>2</v>
      </c>
    </row>
    <row r="53" spans="1:13">
      <c r="A53" s="42">
        <v>7</v>
      </c>
      <c r="B53" s="7" t="s">
        <v>1</v>
      </c>
      <c r="C53" s="8" t="s">
        <v>2</v>
      </c>
      <c r="D53" s="8" t="s">
        <v>2</v>
      </c>
      <c r="E53" s="8" t="s">
        <v>1</v>
      </c>
      <c r="F53" s="8" t="s">
        <v>1</v>
      </c>
      <c r="G53" s="8" t="s">
        <v>2</v>
      </c>
      <c r="H53" s="8" t="s">
        <v>1</v>
      </c>
      <c r="I53" s="8" t="s">
        <v>1</v>
      </c>
      <c r="J53" s="8" t="s">
        <v>4</v>
      </c>
      <c r="K53" s="8" t="s">
        <v>4</v>
      </c>
      <c r="L53" s="8" t="s">
        <v>1</v>
      </c>
      <c r="M53" s="9" t="s">
        <v>2</v>
      </c>
    </row>
    <row r="54" spans="1:13">
      <c r="A54" s="42">
        <v>8</v>
      </c>
      <c r="B54" s="7" t="s">
        <v>1</v>
      </c>
      <c r="C54" s="8" t="s">
        <v>2</v>
      </c>
      <c r="D54" s="8" t="s">
        <v>2</v>
      </c>
      <c r="E54" s="8" t="s">
        <v>1</v>
      </c>
      <c r="F54" s="8" t="s">
        <v>1</v>
      </c>
      <c r="G54" s="8" t="s">
        <v>2</v>
      </c>
      <c r="H54" s="8" t="s">
        <v>1</v>
      </c>
      <c r="I54" s="8" t="s">
        <v>1</v>
      </c>
      <c r="J54" s="8" t="s">
        <v>4</v>
      </c>
      <c r="K54" s="8" t="s">
        <v>4</v>
      </c>
      <c r="L54" s="8" t="s">
        <v>1</v>
      </c>
      <c r="M54" s="9" t="s">
        <v>2</v>
      </c>
    </row>
    <row r="55" spans="1:13">
      <c r="A55" s="42">
        <v>9</v>
      </c>
      <c r="B55" s="7" t="s">
        <v>1</v>
      </c>
      <c r="C55" s="8" t="s">
        <v>2</v>
      </c>
      <c r="D55" s="8" t="s">
        <v>2</v>
      </c>
      <c r="E55" s="8" t="s">
        <v>1</v>
      </c>
      <c r="F55" s="8" t="s">
        <v>1</v>
      </c>
      <c r="G55" s="8" t="s">
        <v>2</v>
      </c>
      <c r="H55" s="8" t="s">
        <v>1</v>
      </c>
      <c r="I55" s="8" t="s">
        <v>1</v>
      </c>
      <c r="J55" s="8" t="s">
        <v>4</v>
      </c>
      <c r="K55" s="8" t="s">
        <v>4</v>
      </c>
      <c r="L55" s="8" t="s">
        <v>1</v>
      </c>
      <c r="M55" s="9" t="s">
        <v>2</v>
      </c>
    </row>
    <row r="56" spans="1:13">
      <c r="A56" s="42">
        <v>10</v>
      </c>
      <c r="B56" s="7" t="s">
        <v>1</v>
      </c>
      <c r="C56" s="8" t="s">
        <v>2</v>
      </c>
      <c r="D56" s="8" t="s">
        <v>2</v>
      </c>
      <c r="E56" s="8" t="s">
        <v>1</v>
      </c>
      <c r="F56" s="8" t="s">
        <v>1</v>
      </c>
      <c r="G56" s="8" t="s">
        <v>2</v>
      </c>
      <c r="H56" s="8" t="s">
        <v>1</v>
      </c>
      <c r="I56" s="8" t="s">
        <v>1</v>
      </c>
      <c r="J56" s="8" t="s">
        <v>4</v>
      </c>
      <c r="K56" s="8" t="s">
        <v>4</v>
      </c>
      <c r="L56" s="8" t="s">
        <v>1</v>
      </c>
      <c r="M56" s="9" t="s">
        <v>2</v>
      </c>
    </row>
    <row r="57" spans="1:13">
      <c r="A57" s="42">
        <v>11</v>
      </c>
      <c r="B57" s="7" t="s">
        <v>3</v>
      </c>
      <c r="C57" s="8" t="s">
        <v>2</v>
      </c>
      <c r="D57" s="8" t="s">
        <v>2</v>
      </c>
      <c r="E57" s="8" t="s">
        <v>1</v>
      </c>
      <c r="F57" s="8" t="s">
        <v>1</v>
      </c>
      <c r="G57" s="8" t="s">
        <v>2</v>
      </c>
      <c r="H57" s="8" t="s">
        <v>1</v>
      </c>
      <c r="I57" s="8" t="s">
        <v>1</v>
      </c>
      <c r="J57" s="8" t="s">
        <v>4</v>
      </c>
      <c r="K57" s="8" t="s">
        <v>4</v>
      </c>
      <c r="L57" s="8" t="s">
        <v>1</v>
      </c>
      <c r="M57" s="9" t="s">
        <v>2</v>
      </c>
    </row>
    <row r="58" spans="1:13">
      <c r="A58" s="42">
        <v>12</v>
      </c>
      <c r="B58" s="7" t="s">
        <v>2</v>
      </c>
      <c r="C58" s="8" t="s">
        <v>1</v>
      </c>
      <c r="D58" s="8" t="s">
        <v>1</v>
      </c>
      <c r="E58" s="8" t="s">
        <v>1</v>
      </c>
      <c r="F58" s="8" t="s">
        <v>1</v>
      </c>
      <c r="G58" s="8" t="s">
        <v>2</v>
      </c>
      <c r="H58" s="8" t="s">
        <v>1</v>
      </c>
      <c r="I58" s="8" t="s">
        <v>1</v>
      </c>
      <c r="J58" s="8" t="s">
        <v>4</v>
      </c>
      <c r="K58" s="8" t="s">
        <v>4</v>
      </c>
      <c r="L58" s="8" t="s">
        <v>1</v>
      </c>
      <c r="M58" s="9" t="s">
        <v>2</v>
      </c>
    </row>
    <row r="59" spans="1:13">
      <c r="A59" s="42">
        <v>13</v>
      </c>
      <c r="B59" s="7" t="s">
        <v>2</v>
      </c>
      <c r="C59" s="8" t="s">
        <v>1</v>
      </c>
      <c r="D59" s="8" t="s">
        <v>1</v>
      </c>
      <c r="E59" s="8" t="s">
        <v>1</v>
      </c>
      <c r="F59" s="8" t="s">
        <v>1</v>
      </c>
      <c r="G59" s="8" t="s">
        <v>2</v>
      </c>
      <c r="H59" s="8" t="s">
        <v>1</v>
      </c>
      <c r="I59" s="8" t="s">
        <v>1</v>
      </c>
      <c r="J59" s="8" t="s">
        <v>4</v>
      </c>
      <c r="K59" s="8" t="s">
        <v>4</v>
      </c>
      <c r="L59" s="8" t="s">
        <v>51</v>
      </c>
      <c r="M59" s="9" t="s">
        <v>2</v>
      </c>
    </row>
    <row r="60" spans="1:13">
      <c r="A60" s="42">
        <v>14</v>
      </c>
      <c r="B60" s="7" t="s">
        <v>2</v>
      </c>
      <c r="C60" s="8" t="s">
        <v>1</v>
      </c>
      <c r="D60" s="8" t="s">
        <v>1</v>
      </c>
      <c r="E60" s="8" t="s">
        <v>1</v>
      </c>
      <c r="F60" s="8" t="s">
        <v>1</v>
      </c>
      <c r="G60" s="8" t="s">
        <v>2</v>
      </c>
      <c r="H60" s="8" t="s">
        <v>1</v>
      </c>
      <c r="I60" s="8" t="s">
        <v>1</v>
      </c>
      <c r="J60" s="8" t="s">
        <v>4</v>
      </c>
      <c r="K60" s="8" t="s">
        <v>4</v>
      </c>
      <c r="L60" s="8" t="s">
        <v>1</v>
      </c>
      <c r="M60" s="9" t="s">
        <v>2</v>
      </c>
    </row>
    <row r="61" spans="1:13">
      <c r="A61" s="42">
        <v>15</v>
      </c>
      <c r="B61" s="7" t="s">
        <v>2</v>
      </c>
      <c r="C61" s="8" t="s">
        <v>1</v>
      </c>
      <c r="D61" s="8" t="s">
        <v>1</v>
      </c>
      <c r="E61" s="8" t="s">
        <v>1</v>
      </c>
      <c r="F61" s="8" t="s">
        <v>1</v>
      </c>
      <c r="G61" s="8" t="s">
        <v>2</v>
      </c>
      <c r="H61" s="8" t="s">
        <v>1</v>
      </c>
      <c r="I61" s="8" t="s">
        <v>1</v>
      </c>
      <c r="J61" s="8" t="s">
        <v>4</v>
      </c>
      <c r="K61" s="8" t="s">
        <v>4</v>
      </c>
      <c r="L61" s="8" t="s">
        <v>1</v>
      </c>
      <c r="M61" s="9" t="s">
        <v>2</v>
      </c>
    </row>
    <row r="62" spans="1:13">
      <c r="A62" s="42">
        <v>16</v>
      </c>
      <c r="B62" s="7" t="s">
        <v>2</v>
      </c>
      <c r="C62" s="8" t="s">
        <v>1</v>
      </c>
      <c r="D62" s="8" t="s">
        <v>1</v>
      </c>
      <c r="E62" s="8" t="s">
        <v>1</v>
      </c>
      <c r="F62" s="8" t="s">
        <v>1</v>
      </c>
      <c r="G62" s="8" t="s">
        <v>2</v>
      </c>
      <c r="H62" s="8" t="s">
        <v>1</v>
      </c>
      <c r="I62" s="8" t="s">
        <v>1</v>
      </c>
      <c r="J62" s="8" t="s">
        <v>4</v>
      </c>
      <c r="K62" s="8" t="s">
        <v>4</v>
      </c>
      <c r="L62" s="8" t="s">
        <v>1</v>
      </c>
      <c r="M62" s="9" t="s">
        <v>2</v>
      </c>
    </row>
    <row r="63" spans="1:13">
      <c r="A63" s="42">
        <v>17</v>
      </c>
      <c r="B63" s="7" t="s">
        <v>2</v>
      </c>
      <c r="C63" s="8" t="s">
        <v>1</v>
      </c>
      <c r="D63" s="8" t="s">
        <v>1</v>
      </c>
      <c r="E63" s="8" t="s">
        <v>4</v>
      </c>
      <c r="F63" s="8" t="s">
        <v>1</v>
      </c>
      <c r="G63" s="8" t="s">
        <v>2</v>
      </c>
      <c r="H63" s="8" t="s">
        <v>1</v>
      </c>
      <c r="I63" s="8" t="s">
        <v>51</v>
      </c>
      <c r="J63" s="8" t="s">
        <v>4</v>
      </c>
      <c r="K63" s="8" t="s">
        <v>4</v>
      </c>
      <c r="L63" s="8" t="s">
        <v>1</v>
      </c>
      <c r="M63" s="9" t="s">
        <v>2</v>
      </c>
    </row>
    <row r="64" spans="1:13">
      <c r="A64" s="42">
        <v>18</v>
      </c>
      <c r="B64" s="7" t="s">
        <v>2</v>
      </c>
      <c r="C64" s="8" t="s">
        <v>1</v>
      </c>
      <c r="D64" s="8" t="s">
        <v>1</v>
      </c>
      <c r="E64" s="8" t="s">
        <v>4</v>
      </c>
      <c r="F64" s="8" t="s">
        <v>1</v>
      </c>
      <c r="G64" s="8" t="s">
        <v>2</v>
      </c>
      <c r="H64" s="8" t="s">
        <v>1</v>
      </c>
      <c r="I64" s="8" t="s">
        <v>1</v>
      </c>
      <c r="J64" s="8" t="s">
        <v>4</v>
      </c>
      <c r="K64" s="8" t="s">
        <v>4</v>
      </c>
      <c r="L64" s="8" t="s">
        <v>1</v>
      </c>
      <c r="M64" s="9" t="s">
        <v>2</v>
      </c>
    </row>
    <row r="65" spans="1:13">
      <c r="A65" s="42">
        <v>19</v>
      </c>
      <c r="B65" s="7" t="s">
        <v>2</v>
      </c>
      <c r="C65" s="8" t="s">
        <v>1</v>
      </c>
      <c r="D65" s="8" t="s">
        <v>1</v>
      </c>
      <c r="E65" s="8" t="s">
        <v>4</v>
      </c>
      <c r="F65" s="8" t="s">
        <v>1</v>
      </c>
      <c r="G65" s="8" t="s">
        <v>2</v>
      </c>
      <c r="H65" s="8" t="s">
        <v>1</v>
      </c>
      <c r="I65" s="8" t="s">
        <v>1</v>
      </c>
      <c r="J65" s="8" t="s">
        <v>4</v>
      </c>
      <c r="K65" s="8" t="s">
        <v>4</v>
      </c>
      <c r="L65" s="8" t="s">
        <v>1</v>
      </c>
      <c r="M65" s="9" t="s">
        <v>2</v>
      </c>
    </row>
    <row r="66" spans="1:13">
      <c r="A66" s="42">
        <v>20</v>
      </c>
      <c r="B66" s="7" t="s">
        <v>2</v>
      </c>
      <c r="C66" s="8" t="s">
        <v>1</v>
      </c>
      <c r="D66" s="8" t="s">
        <v>1</v>
      </c>
      <c r="E66" s="8" t="s">
        <v>4</v>
      </c>
      <c r="F66" s="8" t="s">
        <v>3</v>
      </c>
      <c r="G66" s="8" t="s">
        <v>2</v>
      </c>
      <c r="H66" s="8" t="s">
        <v>1</v>
      </c>
      <c r="I66" s="8" t="s">
        <v>1</v>
      </c>
      <c r="J66" s="8" t="s">
        <v>4</v>
      </c>
      <c r="K66" s="8" t="s">
        <v>4</v>
      </c>
      <c r="L66" s="8" t="s">
        <v>1</v>
      </c>
      <c r="M66" s="9" t="s">
        <v>2</v>
      </c>
    </row>
    <row r="67" spans="1:13">
      <c r="A67" s="42">
        <v>21</v>
      </c>
      <c r="B67" s="7" t="s">
        <v>2</v>
      </c>
      <c r="C67" s="8" t="s">
        <v>1</v>
      </c>
      <c r="D67" s="8" t="s">
        <v>1</v>
      </c>
      <c r="E67" s="8" t="s">
        <v>4</v>
      </c>
      <c r="F67" s="8" t="s">
        <v>3</v>
      </c>
      <c r="G67" s="8" t="s">
        <v>2</v>
      </c>
      <c r="H67" s="8" t="s">
        <v>1</v>
      </c>
      <c r="I67" s="8" t="s">
        <v>1</v>
      </c>
      <c r="J67" s="8" t="s">
        <v>4</v>
      </c>
      <c r="K67" s="8" t="s">
        <v>4</v>
      </c>
      <c r="L67" s="8" t="s">
        <v>1</v>
      </c>
      <c r="M67" s="9" t="s">
        <v>1</v>
      </c>
    </row>
    <row r="68" spans="1:13">
      <c r="A68" s="42">
        <v>22</v>
      </c>
      <c r="B68" s="7" t="s">
        <v>2</v>
      </c>
      <c r="C68" s="8" t="s">
        <v>1</v>
      </c>
      <c r="D68" s="8" t="s">
        <v>1</v>
      </c>
      <c r="E68" s="8" t="s">
        <v>4</v>
      </c>
      <c r="F68" s="8" t="s">
        <v>3</v>
      </c>
      <c r="G68" s="8" t="s">
        <v>2</v>
      </c>
      <c r="H68" s="8" t="s">
        <v>1</v>
      </c>
      <c r="I68" s="8" t="s">
        <v>1</v>
      </c>
      <c r="J68" s="8" t="s">
        <v>4</v>
      </c>
      <c r="K68" s="8" t="s">
        <v>4</v>
      </c>
      <c r="L68" s="8" t="s">
        <v>1</v>
      </c>
      <c r="M68" s="9" t="s">
        <v>1</v>
      </c>
    </row>
    <row r="69" spans="1:13">
      <c r="A69" s="42">
        <v>23</v>
      </c>
      <c r="B69" s="7" t="s">
        <v>2</v>
      </c>
      <c r="C69" s="8" t="s">
        <v>1</v>
      </c>
      <c r="D69" s="8" t="s">
        <v>1</v>
      </c>
      <c r="E69" s="8" t="s">
        <v>4</v>
      </c>
      <c r="F69" s="8" t="s">
        <v>3</v>
      </c>
      <c r="G69" s="8" t="s">
        <v>2</v>
      </c>
      <c r="H69" s="8" t="s">
        <v>1</v>
      </c>
      <c r="I69" s="8" t="s">
        <v>1</v>
      </c>
      <c r="J69" s="8" t="s">
        <v>4</v>
      </c>
      <c r="K69" s="8" t="s">
        <v>4</v>
      </c>
      <c r="L69" s="8" t="s">
        <v>1</v>
      </c>
      <c r="M69" s="9" t="s">
        <v>1</v>
      </c>
    </row>
    <row r="70" spans="1:13">
      <c r="A70" s="42">
        <v>24</v>
      </c>
      <c r="B70" s="7" t="s">
        <v>2</v>
      </c>
      <c r="C70" s="8" t="s">
        <v>1</v>
      </c>
      <c r="D70" s="8" t="s">
        <v>1</v>
      </c>
      <c r="E70" s="8" t="s">
        <v>4</v>
      </c>
      <c r="F70" s="8" t="s">
        <v>3</v>
      </c>
      <c r="G70" s="8" t="s">
        <v>1</v>
      </c>
      <c r="H70" s="8" t="s">
        <v>1</v>
      </c>
      <c r="I70" s="8" t="s">
        <v>1</v>
      </c>
      <c r="J70" s="8" t="s">
        <v>4</v>
      </c>
      <c r="K70" s="8" t="s">
        <v>4</v>
      </c>
      <c r="L70" s="8" t="s">
        <v>2</v>
      </c>
      <c r="M70" s="9" t="s">
        <v>1</v>
      </c>
    </row>
    <row r="71" spans="1:13">
      <c r="A71" s="42">
        <v>25</v>
      </c>
      <c r="B71" s="7" t="s">
        <v>2</v>
      </c>
      <c r="C71" s="8" t="s">
        <v>1</v>
      </c>
      <c r="D71" s="8" t="s">
        <v>1</v>
      </c>
      <c r="E71" s="8" t="s">
        <v>4</v>
      </c>
      <c r="F71" s="8" t="s">
        <v>3</v>
      </c>
      <c r="G71" s="8" t="s">
        <v>1</v>
      </c>
      <c r="H71" s="8" t="s">
        <v>1</v>
      </c>
      <c r="I71" s="8" t="s">
        <v>1</v>
      </c>
      <c r="J71" s="8" t="s">
        <v>4</v>
      </c>
      <c r="K71" s="8" t="s">
        <v>4</v>
      </c>
      <c r="L71" s="8" t="s">
        <v>2</v>
      </c>
      <c r="M71" s="9" t="s">
        <v>1</v>
      </c>
    </row>
    <row r="72" spans="1:13">
      <c r="A72" s="42">
        <v>26</v>
      </c>
      <c r="B72" s="7" t="s">
        <v>2</v>
      </c>
      <c r="C72" s="8" t="s">
        <v>1</v>
      </c>
      <c r="D72" s="8" t="s">
        <v>1</v>
      </c>
      <c r="E72" s="8" t="s">
        <v>4</v>
      </c>
      <c r="F72" s="8" t="s">
        <v>3</v>
      </c>
      <c r="G72" s="8" t="s">
        <v>1</v>
      </c>
      <c r="H72" s="8" t="s">
        <v>1</v>
      </c>
      <c r="I72" s="8" t="s">
        <v>1</v>
      </c>
      <c r="J72" s="8" t="s">
        <v>4</v>
      </c>
      <c r="K72" s="8" t="s">
        <v>4</v>
      </c>
      <c r="L72" s="8" t="s">
        <v>2</v>
      </c>
      <c r="M72" s="9" t="s">
        <v>1</v>
      </c>
    </row>
    <row r="73" spans="1:13">
      <c r="A73" s="42">
        <v>27</v>
      </c>
      <c r="B73" s="7" t="s">
        <v>2</v>
      </c>
      <c r="C73" s="8" t="s">
        <v>1</v>
      </c>
      <c r="D73" s="8" t="s">
        <v>1</v>
      </c>
      <c r="E73" s="8" t="s">
        <v>4</v>
      </c>
      <c r="F73" s="8" t="s">
        <v>2</v>
      </c>
      <c r="G73" s="8" t="s">
        <v>1</v>
      </c>
      <c r="H73" s="8" t="s">
        <v>1</v>
      </c>
      <c r="I73" s="8" t="s">
        <v>4</v>
      </c>
      <c r="J73" s="8" t="s">
        <v>4</v>
      </c>
      <c r="K73" s="8" t="s">
        <v>4</v>
      </c>
      <c r="L73" s="8" t="s">
        <v>2</v>
      </c>
      <c r="M73" s="9" t="s">
        <v>1</v>
      </c>
    </row>
    <row r="74" spans="1:13">
      <c r="A74" s="42">
        <v>28</v>
      </c>
      <c r="B74" s="7" t="s">
        <v>2</v>
      </c>
      <c r="C74" s="8" t="s">
        <v>1</v>
      </c>
      <c r="D74" s="8" t="s">
        <v>1</v>
      </c>
      <c r="E74" s="8" t="s">
        <v>4</v>
      </c>
      <c r="F74" s="8" t="s">
        <v>2</v>
      </c>
      <c r="G74" s="8" t="s">
        <v>1</v>
      </c>
      <c r="H74" s="8" t="s">
        <v>1</v>
      </c>
      <c r="I74" s="8" t="s">
        <v>4</v>
      </c>
      <c r="J74" s="8" t="s">
        <v>4</v>
      </c>
      <c r="K74" s="8" t="s">
        <v>4</v>
      </c>
      <c r="L74" s="8" t="s">
        <v>2</v>
      </c>
      <c r="M74" s="9" t="s">
        <v>1</v>
      </c>
    </row>
    <row r="75" spans="1:13">
      <c r="A75" s="42">
        <v>29</v>
      </c>
      <c r="B75" s="7" t="s">
        <v>2</v>
      </c>
      <c r="C75" s="8"/>
      <c r="D75" s="8" t="s">
        <v>51</v>
      </c>
      <c r="E75" s="8" t="s">
        <v>4</v>
      </c>
      <c r="F75" s="8" t="s">
        <v>1</v>
      </c>
      <c r="G75" s="8" t="s">
        <v>1</v>
      </c>
      <c r="H75" s="8" t="s">
        <v>1</v>
      </c>
      <c r="I75" s="8" t="s">
        <v>4</v>
      </c>
      <c r="J75" s="8" t="s">
        <v>4</v>
      </c>
      <c r="K75" s="8" t="s">
        <v>4</v>
      </c>
      <c r="L75" s="8" t="s">
        <v>2</v>
      </c>
      <c r="M75" s="9" t="s">
        <v>1</v>
      </c>
    </row>
    <row r="76" spans="1:13">
      <c r="A76" s="42">
        <v>30</v>
      </c>
      <c r="B76" s="7" t="s">
        <v>2</v>
      </c>
      <c r="C76" s="8"/>
      <c r="D76" s="8" t="s">
        <v>51</v>
      </c>
      <c r="E76" s="8" t="s">
        <v>4</v>
      </c>
      <c r="F76" s="8" t="s">
        <v>1</v>
      </c>
      <c r="G76" s="8" t="s">
        <v>1</v>
      </c>
      <c r="H76" s="8" t="s">
        <v>1</v>
      </c>
      <c r="I76" s="8" t="s">
        <v>4</v>
      </c>
      <c r="J76" s="8" t="s">
        <v>4</v>
      </c>
      <c r="K76" s="8" t="s">
        <v>4</v>
      </c>
      <c r="L76" s="8" t="s">
        <v>2</v>
      </c>
      <c r="M76" s="9" t="s">
        <v>1</v>
      </c>
    </row>
    <row r="77" spans="1:13">
      <c r="A77" s="43">
        <v>31</v>
      </c>
      <c r="B77" s="10" t="s">
        <v>2</v>
      </c>
      <c r="C77" s="11"/>
      <c r="D77" s="11" t="s">
        <v>51</v>
      </c>
      <c r="E77" s="11"/>
      <c r="F77" s="11" t="s">
        <v>2</v>
      </c>
      <c r="G77" s="11"/>
      <c r="H77" s="11" t="s">
        <v>1</v>
      </c>
      <c r="I77" s="11" t="s">
        <v>4</v>
      </c>
      <c r="J77" s="11"/>
      <c r="K77" s="11" t="s">
        <v>4</v>
      </c>
      <c r="L77" s="11"/>
      <c r="M77" s="12" t="s">
        <v>1</v>
      </c>
    </row>
    <row r="79" spans="1:13" ht="15.75">
      <c r="A79" s="72" t="s">
        <v>29</v>
      </c>
      <c r="B79" s="72"/>
      <c r="C79" s="72"/>
      <c r="D79" s="72"/>
      <c r="E79" s="72"/>
      <c r="F79" s="72"/>
      <c r="G79" s="72"/>
      <c r="H79" s="72"/>
      <c r="I79" s="72"/>
      <c r="J79" s="72"/>
      <c r="K79" s="72"/>
      <c r="L79" s="72"/>
      <c r="M79" s="72"/>
    </row>
    <row r="80" spans="1:13">
      <c r="B80" s="57" t="s">
        <v>17</v>
      </c>
      <c r="C80" s="58" t="s">
        <v>18</v>
      </c>
      <c r="D80" s="58" t="s">
        <v>19</v>
      </c>
      <c r="E80" s="58" t="s">
        <v>20</v>
      </c>
      <c r="F80" s="58" t="s">
        <v>21</v>
      </c>
      <c r="G80" s="58" t="s">
        <v>22</v>
      </c>
      <c r="H80" s="58" t="s">
        <v>23</v>
      </c>
      <c r="I80" s="58" t="s">
        <v>24</v>
      </c>
      <c r="J80" s="58" t="s">
        <v>25</v>
      </c>
      <c r="K80" s="58" t="s">
        <v>26</v>
      </c>
      <c r="L80" s="58" t="s">
        <v>27</v>
      </c>
      <c r="M80" s="59" t="s">
        <v>28</v>
      </c>
    </row>
    <row r="81" spans="1:13">
      <c r="A81" s="41" t="s">
        <v>3</v>
      </c>
      <c r="B81" s="4">
        <f>COUNTIF($B$46:$B$77,"Anchor")</f>
        <v>1</v>
      </c>
      <c r="C81" s="5">
        <f>COUNTIF($C$46:$C$77,"Anchor")</f>
        <v>0</v>
      </c>
      <c r="D81" s="5">
        <f>COUNTIF($D$46:$D$77,"Anchor")</f>
        <v>0</v>
      </c>
      <c r="E81" s="5">
        <f>COUNTIF($E$46:$E$77,"Anchor")</f>
        <v>0</v>
      </c>
      <c r="F81" s="5">
        <f>COUNTIF($F$46:$F$77,"Anchor")</f>
        <v>7</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2" t="s">
        <v>1</v>
      </c>
      <c r="B82" s="7">
        <f>COUNTIF($B$46:$B$77,"At Sea")</f>
        <v>10</v>
      </c>
      <c r="C82" s="8">
        <f>COUNTIF($C$46:$C$77,"At Sea")</f>
        <v>17</v>
      </c>
      <c r="D82" s="8">
        <f>COUNTIF($D$46:$D$77,"At Sea")</f>
        <v>17</v>
      </c>
      <c r="E82" s="8">
        <f>COUNTIF($E$46:$E$77,"At Sea")</f>
        <v>15</v>
      </c>
      <c r="F82" s="8">
        <f>COUNTIF($F$46:$F$77,"At Sea")</f>
        <v>15</v>
      </c>
      <c r="G82" s="8">
        <f>COUNTIF($G$46:$G$77,"At Sea")</f>
        <v>7</v>
      </c>
      <c r="H82" s="8">
        <f>COUNTIF($H$46:$H$77,"At Sea")</f>
        <v>31</v>
      </c>
      <c r="I82" s="8">
        <f>COUNTIF($I$46:$I$77,"At Sea")</f>
        <v>23</v>
      </c>
      <c r="J82" s="8">
        <f>COUNTIF($J$46:$J$77,"At Sea")</f>
        <v>0</v>
      </c>
      <c r="K82" s="8">
        <f>COUNTIF($K$46:$K$77,"At Sea")</f>
        <v>0</v>
      </c>
      <c r="L82" s="8">
        <f>COUNTIF($L$46:$L$77,"At Sea")</f>
        <v>18</v>
      </c>
      <c r="M82" s="9">
        <f>COUNTIF($M$46:$M$77,"At Sea")</f>
        <v>11</v>
      </c>
    </row>
    <row r="83" spans="1:13">
      <c r="A83" s="42" t="s">
        <v>2</v>
      </c>
      <c r="B83" s="7">
        <f>COUNTIF($B$46:$B$77,"On Dock")</f>
        <v>20</v>
      </c>
      <c r="C83" s="8">
        <f>COUNTIF($C$46:$C$77,"On Dock")</f>
        <v>11</v>
      </c>
      <c r="D83" s="8">
        <f>COUNTIF($D$46:$D$77,"On Dock")</f>
        <v>11</v>
      </c>
      <c r="E83" s="8">
        <f>COUNTIF($E$46:$E$77,"On Dock")</f>
        <v>0</v>
      </c>
      <c r="F83" s="8">
        <f>COUNTIF($F$46:$F$77,"On Dock")</f>
        <v>3</v>
      </c>
      <c r="G83" s="8">
        <f>COUNTIF($G$46:$G$77,"On Dock")</f>
        <v>23</v>
      </c>
      <c r="H83" s="8">
        <f>COUNTIF($H$46:$H$77,"On Dock")</f>
        <v>0</v>
      </c>
      <c r="I83" s="8">
        <f>COUNTIF($I$46:$I$77,"On Dock")</f>
        <v>0</v>
      </c>
      <c r="J83" s="8">
        <f>COUNTIF($J$46:$J$77,"On Dock")</f>
        <v>0</v>
      </c>
      <c r="K83" s="8">
        <f>COUNTIF($K$46:$K$77,"On Dock")</f>
        <v>0</v>
      </c>
      <c r="L83" s="8">
        <f>COUNTIF($L$46:$L$77,"On Dock")</f>
        <v>7</v>
      </c>
      <c r="M83" s="9">
        <f>COUNTIF($M$46:$M$77,"On Dock")</f>
        <v>20</v>
      </c>
    </row>
    <row r="84" spans="1:13">
      <c r="A84" s="42" t="s">
        <v>51</v>
      </c>
      <c r="B84" s="7">
        <f>COUNTIF($B$46:$B$77,"Standby")</f>
        <v>0</v>
      </c>
      <c r="C84" s="8">
        <f>COUNTIF($C$46:$C$77,"Standby")</f>
        <v>0</v>
      </c>
      <c r="D84" s="8">
        <f>COUNTIF($D$46:$D$77,"Standby")</f>
        <v>3</v>
      </c>
      <c r="E84" s="8">
        <f>COUNTIF($E$46:$E$77,"Standby")</f>
        <v>1</v>
      </c>
      <c r="F84" s="8">
        <f>COUNTIF($F$46:$F$77,"Standby")</f>
        <v>0</v>
      </c>
      <c r="G84" s="8">
        <f>COUNTIF($G$46:$G$77,"Standby")</f>
        <v>0</v>
      </c>
      <c r="H84" s="8">
        <f>COUNTIF($H$46:$H$77,"Standby")</f>
        <v>0</v>
      </c>
      <c r="I84" s="8">
        <f>COUNTIF($I$46:$I$77,"Standby")</f>
        <v>3</v>
      </c>
      <c r="J84" s="8">
        <f>COUNTIF($J$46:$J$77,"Standby")</f>
        <v>0</v>
      </c>
      <c r="K84" s="8">
        <f>COUNTIF($K$46:$K$77,"Standby")</f>
        <v>0</v>
      </c>
      <c r="L84" s="8">
        <f>COUNTIF($L$46:$L$77,"Standby")</f>
        <v>1</v>
      </c>
      <c r="M84" s="9">
        <f>COUNTIF($M$46:$M$77,"Standby")</f>
        <v>0</v>
      </c>
    </row>
    <row r="85" spans="1:13">
      <c r="A85" s="42" t="s">
        <v>4</v>
      </c>
      <c r="B85" s="7">
        <f>COUNTIF($B$46:$B$77,"Yard")</f>
        <v>0</v>
      </c>
      <c r="C85" s="8">
        <f>COUNTIF($C$46:$C$77,"Yard")</f>
        <v>0</v>
      </c>
      <c r="D85" s="8">
        <f>COUNTIF($D$46:$D$77,"Yard")</f>
        <v>0</v>
      </c>
      <c r="E85" s="8">
        <f>COUNTIF($E$46:$E$77,"Yard")</f>
        <v>14</v>
      </c>
      <c r="F85" s="8">
        <f>COUNTIF($F$46:$F$77,"Yard")</f>
        <v>6</v>
      </c>
      <c r="G85" s="8">
        <f>COUNTIF($G$46:$G$77,"Yard")</f>
        <v>0</v>
      </c>
      <c r="H85" s="8">
        <f>COUNTIF($H$46:$H$77,"Yard")</f>
        <v>0</v>
      </c>
      <c r="I85" s="8">
        <f>COUNTIF($I$46:$I$77,"Yard")</f>
        <v>5</v>
      </c>
      <c r="J85" s="8">
        <f>COUNTIF($J$46:$J$77,"Yard")</f>
        <v>30</v>
      </c>
      <c r="K85" s="8">
        <f>COUNTIF($K$46:$K$77,"Yard")</f>
        <v>31</v>
      </c>
      <c r="L85" s="8">
        <f>COUNTIF($L$46:$L$77,"Yard")</f>
        <v>4</v>
      </c>
      <c r="M85" s="9">
        <f>COUNTIF($M$46:$M$77,"Yard")</f>
        <v>0</v>
      </c>
    </row>
    <row r="86" spans="1:13">
      <c r="A86" s="42"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2"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3"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69" t="s">
        <v>52</v>
      </c>
      <c r="B90" s="70"/>
      <c r="C90" s="70"/>
      <c r="D90" s="70"/>
      <c r="E90" s="70"/>
      <c r="F90" s="70"/>
      <c r="G90" s="70"/>
      <c r="H90" s="70"/>
      <c r="I90" s="70"/>
      <c r="J90" s="70"/>
      <c r="K90" s="70"/>
      <c r="L90" s="70"/>
      <c r="M90" s="71"/>
    </row>
    <row r="92" spans="1:13">
      <c r="B92" s="57" t="s">
        <v>17</v>
      </c>
      <c r="C92" s="58" t="s">
        <v>18</v>
      </c>
      <c r="D92" s="58" t="s">
        <v>19</v>
      </c>
      <c r="E92" s="58" t="s">
        <v>20</v>
      </c>
      <c r="F92" s="58" t="s">
        <v>21</v>
      </c>
      <c r="G92" s="58" t="s">
        <v>22</v>
      </c>
      <c r="H92" s="58" t="s">
        <v>23</v>
      </c>
      <c r="I92" s="58" t="s">
        <v>24</v>
      </c>
      <c r="J92" s="58" t="s">
        <v>25</v>
      </c>
      <c r="K92" s="58" t="s">
        <v>26</v>
      </c>
      <c r="L92" s="58" t="s">
        <v>27</v>
      </c>
      <c r="M92" s="59" t="s">
        <v>28</v>
      </c>
    </row>
    <row r="93" spans="1:13">
      <c r="A93" s="41">
        <v>1</v>
      </c>
      <c r="B93" s="4"/>
      <c r="C93" s="5" t="s">
        <v>2</v>
      </c>
      <c r="D93" s="5" t="s">
        <v>2</v>
      </c>
      <c r="E93" s="5" t="s">
        <v>51</v>
      </c>
      <c r="F93" s="5" t="s">
        <v>4</v>
      </c>
      <c r="G93" s="5" t="s">
        <v>2</v>
      </c>
      <c r="H93" s="5" t="s">
        <v>1</v>
      </c>
      <c r="I93" s="5" t="s">
        <v>1</v>
      </c>
      <c r="J93" s="5" t="s">
        <v>4</v>
      </c>
      <c r="K93" s="5" t="s">
        <v>4</v>
      </c>
      <c r="L93" s="5" t="s">
        <v>4</v>
      </c>
      <c r="M93" s="6" t="s">
        <v>2</v>
      </c>
    </row>
    <row r="94" spans="1:13">
      <c r="A94" s="42">
        <v>2</v>
      </c>
      <c r="B94" s="7"/>
      <c r="C94" s="8" t="s">
        <v>2</v>
      </c>
      <c r="D94" s="8" t="s">
        <v>2</v>
      </c>
      <c r="E94" s="8" t="s">
        <v>1</v>
      </c>
      <c r="F94" s="8" t="s">
        <v>4</v>
      </c>
      <c r="G94" s="8" t="s">
        <v>2</v>
      </c>
      <c r="H94" s="8" t="s">
        <v>1</v>
      </c>
      <c r="I94" s="8" t="s">
        <v>1</v>
      </c>
      <c r="J94" s="8" t="s">
        <v>4</v>
      </c>
      <c r="K94" s="8" t="s">
        <v>4</v>
      </c>
      <c r="L94" s="8" t="s">
        <v>4</v>
      </c>
      <c r="M94" s="9" t="s">
        <v>2</v>
      </c>
    </row>
    <row r="95" spans="1:13">
      <c r="A95" s="42">
        <v>3</v>
      </c>
      <c r="B95" s="7" t="s">
        <v>1</v>
      </c>
      <c r="C95" s="8" t="s">
        <v>2</v>
      </c>
      <c r="D95" s="8" t="s">
        <v>2</v>
      </c>
      <c r="E95" s="8" t="s">
        <v>1</v>
      </c>
      <c r="F95" s="8" t="s">
        <v>4</v>
      </c>
      <c r="G95" s="8" t="s">
        <v>2</v>
      </c>
      <c r="H95" s="8" t="s">
        <v>1</v>
      </c>
      <c r="I95" s="8" t="s">
        <v>51</v>
      </c>
      <c r="J95" s="8" t="s">
        <v>4</v>
      </c>
      <c r="K95" s="8" t="s">
        <v>4</v>
      </c>
      <c r="L95" s="8" t="s">
        <v>4</v>
      </c>
      <c r="M95" s="9" t="s">
        <v>2</v>
      </c>
    </row>
    <row r="96" spans="1:13">
      <c r="A96" s="42">
        <v>4</v>
      </c>
      <c r="B96" s="7" t="s">
        <v>1</v>
      </c>
      <c r="C96" s="8" t="s">
        <v>2</v>
      </c>
      <c r="D96" s="8" t="s">
        <v>2</v>
      </c>
      <c r="E96" s="8" t="s">
        <v>1</v>
      </c>
      <c r="F96" s="8" t="s">
        <v>4</v>
      </c>
      <c r="G96" s="8" t="s">
        <v>2</v>
      </c>
      <c r="H96" s="8" t="s">
        <v>1</v>
      </c>
      <c r="I96" s="8" t="s">
        <v>51</v>
      </c>
      <c r="J96" s="8" t="s">
        <v>4</v>
      </c>
      <c r="K96" s="8" t="s">
        <v>4</v>
      </c>
      <c r="L96" s="8" t="s">
        <v>4</v>
      </c>
      <c r="M96" s="9" t="s">
        <v>2</v>
      </c>
    </row>
    <row r="97" spans="1:13">
      <c r="A97" s="42">
        <v>5</v>
      </c>
      <c r="B97" s="7" t="s">
        <v>1</v>
      </c>
      <c r="C97" s="8" t="s">
        <v>2</v>
      </c>
      <c r="D97" s="8" t="s">
        <v>2</v>
      </c>
      <c r="E97" s="8" t="s">
        <v>1</v>
      </c>
      <c r="F97" s="8" t="s">
        <v>4</v>
      </c>
      <c r="G97" s="8" t="s">
        <v>2</v>
      </c>
      <c r="H97" s="8" t="s">
        <v>1</v>
      </c>
      <c r="I97" s="8" t="s">
        <v>1</v>
      </c>
      <c r="J97" s="8" t="s">
        <v>4</v>
      </c>
      <c r="K97" s="8" t="s">
        <v>4</v>
      </c>
      <c r="L97" s="8" t="s">
        <v>1</v>
      </c>
      <c r="M97" s="9" t="s">
        <v>2</v>
      </c>
    </row>
    <row r="98" spans="1:13">
      <c r="A98" s="42">
        <v>6</v>
      </c>
      <c r="B98" s="7" t="s">
        <v>1</v>
      </c>
      <c r="C98" s="8" t="s">
        <v>2</v>
      </c>
      <c r="D98" s="8" t="s">
        <v>2</v>
      </c>
      <c r="E98" s="8" t="s">
        <v>1</v>
      </c>
      <c r="F98" s="8" t="s">
        <v>4</v>
      </c>
      <c r="G98" s="8" t="s">
        <v>2</v>
      </c>
      <c r="H98" s="8" t="s">
        <v>1</v>
      </c>
      <c r="I98" s="8" t="s">
        <v>1</v>
      </c>
      <c r="J98" s="8" t="s">
        <v>4</v>
      </c>
      <c r="K98" s="8" t="s">
        <v>4</v>
      </c>
      <c r="L98" s="8" t="s">
        <v>1</v>
      </c>
      <c r="M98" s="9" t="s">
        <v>2</v>
      </c>
    </row>
    <row r="99" spans="1:13">
      <c r="A99" s="42">
        <v>7</v>
      </c>
      <c r="B99" s="7" t="s">
        <v>1</v>
      </c>
      <c r="C99" s="8" t="s">
        <v>2</v>
      </c>
      <c r="D99" s="8" t="s">
        <v>2</v>
      </c>
      <c r="E99" s="8" t="s">
        <v>1</v>
      </c>
      <c r="F99" s="8" t="s">
        <v>1</v>
      </c>
      <c r="G99" s="8" t="s">
        <v>2</v>
      </c>
      <c r="H99" s="8" t="s">
        <v>1</v>
      </c>
      <c r="I99" s="8" t="s">
        <v>1</v>
      </c>
      <c r="J99" s="8" t="s">
        <v>4</v>
      </c>
      <c r="K99" s="8" t="s">
        <v>4</v>
      </c>
      <c r="L99" s="8" t="s">
        <v>1</v>
      </c>
      <c r="M99" s="9" t="s">
        <v>2</v>
      </c>
    </row>
    <row r="100" spans="1:13">
      <c r="A100" s="42">
        <v>8</v>
      </c>
      <c r="B100" s="7" t="s">
        <v>1</v>
      </c>
      <c r="C100" s="8" t="s">
        <v>2</v>
      </c>
      <c r="D100" s="8" t="s">
        <v>2</v>
      </c>
      <c r="E100" s="8" t="s">
        <v>1</v>
      </c>
      <c r="F100" s="8" t="s">
        <v>1</v>
      </c>
      <c r="G100" s="8" t="s">
        <v>2</v>
      </c>
      <c r="H100" s="8" t="s">
        <v>1</v>
      </c>
      <c r="I100" s="8" t="s">
        <v>1</v>
      </c>
      <c r="J100" s="8" t="s">
        <v>4</v>
      </c>
      <c r="K100" s="8" t="s">
        <v>4</v>
      </c>
      <c r="L100" s="8" t="s">
        <v>1</v>
      </c>
      <c r="M100" s="9" t="s">
        <v>2</v>
      </c>
    </row>
    <row r="101" spans="1:13">
      <c r="A101" s="42">
        <v>9</v>
      </c>
      <c r="B101" s="7" t="s">
        <v>1</v>
      </c>
      <c r="C101" s="8" t="s">
        <v>2</v>
      </c>
      <c r="D101" s="8" t="s">
        <v>2</v>
      </c>
      <c r="E101" s="8" t="s">
        <v>1</v>
      </c>
      <c r="F101" s="8" t="s">
        <v>1</v>
      </c>
      <c r="G101" s="8" t="s">
        <v>2</v>
      </c>
      <c r="H101" s="8" t="s">
        <v>1</v>
      </c>
      <c r="I101" s="8" t="s">
        <v>1</v>
      </c>
      <c r="J101" s="8" t="s">
        <v>4</v>
      </c>
      <c r="K101" s="8" t="s">
        <v>4</v>
      </c>
      <c r="L101" s="8" t="s">
        <v>1</v>
      </c>
      <c r="M101" s="9" t="s">
        <v>2</v>
      </c>
    </row>
    <row r="102" spans="1:13">
      <c r="A102" s="42">
        <v>10</v>
      </c>
      <c r="B102" s="7" t="s">
        <v>1</v>
      </c>
      <c r="C102" s="8" t="s">
        <v>2</v>
      </c>
      <c r="D102" s="8" t="s">
        <v>2</v>
      </c>
      <c r="E102" s="8" t="s">
        <v>1</v>
      </c>
      <c r="F102" s="8" t="s">
        <v>1</v>
      </c>
      <c r="G102" s="8" t="s">
        <v>2</v>
      </c>
      <c r="H102" s="8" t="s">
        <v>1</v>
      </c>
      <c r="I102" s="8" t="s">
        <v>1</v>
      </c>
      <c r="J102" s="8" t="s">
        <v>4</v>
      </c>
      <c r="K102" s="8" t="s">
        <v>4</v>
      </c>
      <c r="L102" s="8" t="s">
        <v>1</v>
      </c>
      <c r="M102" s="9" t="s">
        <v>2</v>
      </c>
    </row>
    <row r="103" spans="1:13">
      <c r="A103" s="42">
        <v>11</v>
      </c>
      <c r="B103" s="7" t="s">
        <v>3</v>
      </c>
      <c r="C103" s="8" t="s">
        <v>2</v>
      </c>
      <c r="D103" s="8" t="s">
        <v>2</v>
      </c>
      <c r="E103" s="8" t="s">
        <v>1</v>
      </c>
      <c r="F103" s="8" t="s">
        <v>1</v>
      </c>
      <c r="G103" s="8" t="s">
        <v>2</v>
      </c>
      <c r="H103" s="8" t="s">
        <v>1</v>
      </c>
      <c r="I103" s="8" t="s">
        <v>1</v>
      </c>
      <c r="J103" s="8" t="s">
        <v>4</v>
      </c>
      <c r="K103" s="8" t="s">
        <v>4</v>
      </c>
      <c r="L103" s="8" t="s">
        <v>1</v>
      </c>
      <c r="M103" s="9" t="s">
        <v>2</v>
      </c>
    </row>
    <row r="104" spans="1:13">
      <c r="A104" s="42">
        <v>12</v>
      </c>
      <c r="B104" s="7" t="s">
        <v>2</v>
      </c>
      <c r="C104" s="8" t="s">
        <v>1</v>
      </c>
      <c r="D104" s="8" t="s">
        <v>1</v>
      </c>
      <c r="E104" s="8" t="s">
        <v>1</v>
      </c>
      <c r="F104" s="8" t="s">
        <v>1</v>
      </c>
      <c r="G104" s="8" t="s">
        <v>2</v>
      </c>
      <c r="H104" s="8" t="s">
        <v>1</v>
      </c>
      <c r="I104" s="8" t="s">
        <v>1</v>
      </c>
      <c r="J104" s="8" t="s">
        <v>4</v>
      </c>
      <c r="K104" s="8" t="s">
        <v>4</v>
      </c>
      <c r="L104" s="8" t="s">
        <v>1</v>
      </c>
      <c r="M104" s="9" t="s">
        <v>2</v>
      </c>
    </row>
    <row r="105" spans="1:13">
      <c r="A105" s="42">
        <v>13</v>
      </c>
      <c r="B105" s="7" t="s">
        <v>2</v>
      </c>
      <c r="C105" s="8" t="s">
        <v>1</v>
      </c>
      <c r="D105" s="8" t="s">
        <v>1</v>
      </c>
      <c r="E105" s="8" t="s">
        <v>1</v>
      </c>
      <c r="F105" s="8" t="s">
        <v>1</v>
      </c>
      <c r="G105" s="8" t="s">
        <v>2</v>
      </c>
      <c r="H105" s="8" t="s">
        <v>1</v>
      </c>
      <c r="I105" s="8" t="s">
        <v>1</v>
      </c>
      <c r="J105" s="8" t="s">
        <v>4</v>
      </c>
      <c r="K105" s="8" t="s">
        <v>4</v>
      </c>
      <c r="L105" s="8" t="s">
        <v>51</v>
      </c>
      <c r="M105" s="9" t="s">
        <v>2</v>
      </c>
    </row>
    <row r="106" spans="1:13">
      <c r="A106" s="42">
        <v>14</v>
      </c>
      <c r="B106" s="7" t="s">
        <v>2</v>
      </c>
      <c r="C106" s="8" t="s">
        <v>1</v>
      </c>
      <c r="D106" s="8" t="s">
        <v>1</v>
      </c>
      <c r="E106" s="8" t="s">
        <v>1</v>
      </c>
      <c r="F106" s="8" t="s">
        <v>1</v>
      </c>
      <c r="G106" s="8" t="s">
        <v>2</v>
      </c>
      <c r="H106" s="8" t="s">
        <v>1</v>
      </c>
      <c r="I106" s="8" t="s">
        <v>1</v>
      </c>
      <c r="J106" s="8" t="s">
        <v>4</v>
      </c>
      <c r="K106" s="8" t="s">
        <v>4</v>
      </c>
      <c r="L106" s="8" t="s">
        <v>1</v>
      </c>
      <c r="M106" s="9" t="s">
        <v>2</v>
      </c>
    </row>
    <row r="107" spans="1:13">
      <c r="A107" s="42">
        <v>15</v>
      </c>
      <c r="B107" s="7" t="s">
        <v>2</v>
      </c>
      <c r="C107" s="8" t="s">
        <v>1</v>
      </c>
      <c r="D107" s="8" t="s">
        <v>1</v>
      </c>
      <c r="E107" s="8" t="s">
        <v>1</v>
      </c>
      <c r="F107" s="8" t="s">
        <v>1</v>
      </c>
      <c r="G107" s="8" t="s">
        <v>2</v>
      </c>
      <c r="H107" s="8" t="s">
        <v>1</v>
      </c>
      <c r="I107" s="8" t="s">
        <v>1</v>
      </c>
      <c r="J107" s="8" t="s">
        <v>4</v>
      </c>
      <c r="K107" s="8" t="s">
        <v>4</v>
      </c>
      <c r="L107" s="8" t="s">
        <v>1</v>
      </c>
      <c r="M107" s="9" t="s">
        <v>2</v>
      </c>
    </row>
    <row r="108" spans="1:13">
      <c r="A108" s="42">
        <v>16</v>
      </c>
      <c r="B108" s="7" t="s">
        <v>2</v>
      </c>
      <c r="C108" s="8" t="s">
        <v>1</v>
      </c>
      <c r="D108" s="8" t="s">
        <v>1</v>
      </c>
      <c r="E108" s="8" t="s">
        <v>1</v>
      </c>
      <c r="F108" s="8" t="s">
        <v>1</v>
      </c>
      <c r="G108" s="8" t="s">
        <v>2</v>
      </c>
      <c r="H108" s="8" t="s">
        <v>1</v>
      </c>
      <c r="I108" s="8" t="s">
        <v>1</v>
      </c>
      <c r="J108" s="8" t="s">
        <v>4</v>
      </c>
      <c r="K108" s="8" t="s">
        <v>4</v>
      </c>
      <c r="L108" s="8" t="s">
        <v>1</v>
      </c>
      <c r="M108" s="9" t="s">
        <v>2</v>
      </c>
    </row>
    <row r="109" spans="1:13">
      <c r="A109" s="42">
        <v>17</v>
      </c>
      <c r="B109" s="7" t="s">
        <v>2</v>
      </c>
      <c r="C109" s="8" t="s">
        <v>1</v>
      </c>
      <c r="D109" s="8" t="s">
        <v>1</v>
      </c>
      <c r="E109" s="8" t="s">
        <v>4</v>
      </c>
      <c r="F109" s="8" t="s">
        <v>1</v>
      </c>
      <c r="G109" s="8" t="s">
        <v>2</v>
      </c>
      <c r="H109" s="8" t="s">
        <v>1</v>
      </c>
      <c r="I109" s="8" t="s">
        <v>51</v>
      </c>
      <c r="J109" s="8" t="s">
        <v>4</v>
      </c>
      <c r="K109" s="8" t="s">
        <v>4</v>
      </c>
      <c r="L109" s="8" t="s">
        <v>1</v>
      </c>
      <c r="M109" s="9" t="s">
        <v>2</v>
      </c>
    </row>
    <row r="110" spans="1:13">
      <c r="A110" s="42">
        <v>18</v>
      </c>
      <c r="B110" s="7" t="s">
        <v>2</v>
      </c>
      <c r="C110" s="8" t="s">
        <v>1</v>
      </c>
      <c r="D110" s="8" t="s">
        <v>1</v>
      </c>
      <c r="E110" s="8" t="s">
        <v>4</v>
      </c>
      <c r="F110" s="8" t="s">
        <v>1</v>
      </c>
      <c r="G110" s="8" t="s">
        <v>2</v>
      </c>
      <c r="H110" s="8" t="s">
        <v>1</v>
      </c>
      <c r="I110" s="8" t="s">
        <v>1</v>
      </c>
      <c r="J110" s="8" t="s">
        <v>4</v>
      </c>
      <c r="K110" s="8" t="s">
        <v>4</v>
      </c>
      <c r="L110" s="8" t="s">
        <v>1</v>
      </c>
      <c r="M110" s="9" t="s">
        <v>2</v>
      </c>
    </row>
    <row r="111" spans="1:13">
      <c r="A111" s="42">
        <v>19</v>
      </c>
      <c r="B111" s="7" t="s">
        <v>2</v>
      </c>
      <c r="C111" s="8" t="s">
        <v>1</v>
      </c>
      <c r="D111" s="8" t="s">
        <v>1</v>
      </c>
      <c r="E111" s="8" t="s">
        <v>4</v>
      </c>
      <c r="F111" s="8" t="s">
        <v>1</v>
      </c>
      <c r="G111" s="8" t="s">
        <v>2</v>
      </c>
      <c r="H111" s="8" t="s">
        <v>1</v>
      </c>
      <c r="I111" s="8" t="s">
        <v>1</v>
      </c>
      <c r="J111" s="8" t="s">
        <v>4</v>
      </c>
      <c r="K111" s="8" t="s">
        <v>4</v>
      </c>
      <c r="L111" s="8" t="s">
        <v>1</v>
      </c>
      <c r="M111" s="9" t="s">
        <v>2</v>
      </c>
    </row>
    <row r="112" spans="1:13">
      <c r="A112" s="42">
        <v>20</v>
      </c>
      <c r="B112" s="7" t="s">
        <v>2</v>
      </c>
      <c r="C112" s="8" t="s">
        <v>1</v>
      </c>
      <c r="D112" s="8" t="s">
        <v>1</v>
      </c>
      <c r="E112" s="8" t="s">
        <v>4</v>
      </c>
      <c r="F112" s="8" t="s">
        <v>3</v>
      </c>
      <c r="G112" s="8" t="s">
        <v>2</v>
      </c>
      <c r="H112" s="8" t="s">
        <v>1</v>
      </c>
      <c r="I112" s="8" t="s">
        <v>1</v>
      </c>
      <c r="J112" s="8" t="s">
        <v>4</v>
      </c>
      <c r="K112" s="8" t="s">
        <v>4</v>
      </c>
      <c r="L112" s="8" t="s">
        <v>1</v>
      </c>
      <c r="M112" s="9" t="s">
        <v>2</v>
      </c>
    </row>
    <row r="113" spans="1:13">
      <c r="A113" s="42">
        <v>21</v>
      </c>
      <c r="B113" s="7" t="s">
        <v>2</v>
      </c>
      <c r="C113" s="8" t="s">
        <v>1</v>
      </c>
      <c r="D113" s="8" t="s">
        <v>1</v>
      </c>
      <c r="E113" s="8" t="s">
        <v>4</v>
      </c>
      <c r="F113" s="8" t="s">
        <v>3</v>
      </c>
      <c r="G113" s="8" t="s">
        <v>2</v>
      </c>
      <c r="H113" s="8" t="s">
        <v>1</v>
      </c>
      <c r="I113" s="8" t="s">
        <v>1</v>
      </c>
      <c r="J113" s="8" t="s">
        <v>4</v>
      </c>
      <c r="K113" s="8" t="s">
        <v>4</v>
      </c>
      <c r="L113" s="8" t="s">
        <v>1</v>
      </c>
      <c r="M113" s="9" t="s">
        <v>1</v>
      </c>
    </row>
    <row r="114" spans="1:13">
      <c r="A114" s="42">
        <v>22</v>
      </c>
      <c r="B114" s="7" t="s">
        <v>2</v>
      </c>
      <c r="C114" s="8" t="s">
        <v>1</v>
      </c>
      <c r="D114" s="8" t="s">
        <v>1</v>
      </c>
      <c r="E114" s="8" t="s">
        <v>4</v>
      </c>
      <c r="F114" s="8" t="s">
        <v>3</v>
      </c>
      <c r="G114" s="8" t="s">
        <v>2</v>
      </c>
      <c r="H114" s="8" t="s">
        <v>1</v>
      </c>
      <c r="I114" s="8" t="s">
        <v>1</v>
      </c>
      <c r="J114" s="8" t="s">
        <v>4</v>
      </c>
      <c r="K114" s="8" t="s">
        <v>4</v>
      </c>
      <c r="L114" s="8" t="s">
        <v>1</v>
      </c>
      <c r="M114" s="9" t="s">
        <v>1</v>
      </c>
    </row>
    <row r="115" spans="1:13">
      <c r="A115" s="42">
        <v>23</v>
      </c>
      <c r="B115" s="7" t="s">
        <v>2</v>
      </c>
      <c r="C115" s="8" t="s">
        <v>1</v>
      </c>
      <c r="D115" s="8" t="s">
        <v>1</v>
      </c>
      <c r="E115" s="8" t="s">
        <v>4</v>
      </c>
      <c r="F115" s="8" t="s">
        <v>3</v>
      </c>
      <c r="G115" s="8" t="s">
        <v>2</v>
      </c>
      <c r="H115" s="8" t="s">
        <v>1</v>
      </c>
      <c r="I115" s="8" t="s">
        <v>1</v>
      </c>
      <c r="J115" s="8" t="s">
        <v>4</v>
      </c>
      <c r="K115" s="8" t="s">
        <v>4</v>
      </c>
      <c r="L115" s="8" t="s">
        <v>1</v>
      </c>
      <c r="M115" s="9" t="s">
        <v>1</v>
      </c>
    </row>
    <row r="116" spans="1:13">
      <c r="A116" s="42">
        <v>24</v>
      </c>
      <c r="B116" s="7" t="s">
        <v>2</v>
      </c>
      <c r="C116" s="8" t="s">
        <v>1</v>
      </c>
      <c r="D116" s="8" t="s">
        <v>1</v>
      </c>
      <c r="E116" s="8" t="s">
        <v>4</v>
      </c>
      <c r="F116" s="8" t="s">
        <v>3</v>
      </c>
      <c r="G116" s="8" t="s">
        <v>1</v>
      </c>
      <c r="H116" s="8" t="s">
        <v>1</v>
      </c>
      <c r="I116" s="8" t="s">
        <v>1</v>
      </c>
      <c r="J116" s="8" t="s">
        <v>4</v>
      </c>
      <c r="K116" s="8" t="s">
        <v>4</v>
      </c>
      <c r="L116" s="8" t="s">
        <v>2</v>
      </c>
      <c r="M116" s="9" t="s">
        <v>1</v>
      </c>
    </row>
    <row r="117" spans="1:13">
      <c r="A117" s="42">
        <v>25</v>
      </c>
      <c r="B117" s="7" t="s">
        <v>2</v>
      </c>
      <c r="C117" s="8" t="s">
        <v>1</v>
      </c>
      <c r="D117" s="8" t="s">
        <v>1</v>
      </c>
      <c r="E117" s="8" t="s">
        <v>4</v>
      </c>
      <c r="F117" s="8" t="s">
        <v>3</v>
      </c>
      <c r="G117" s="8" t="s">
        <v>1</v>
      </c>
      <c r="H117" s="8" t="s">
        <v>1</v>
      </c>
      <c r="I117" s="8" t="s">
        <v>1</v>
      </c>
      <c r="J117" s="8" t="s">
        <v>4</v>
      </c>
      <c r="K117" s="8" t="s">
        <v>4</v>
      </c>
      <c r="L117" s="8" t="s">
        <v>2</v>
      </c>
      <c r="M117" s="9" t="s">
        <v>1</v>
      </c>
    </row>
    <row r="118" spans="1:13">
      <c r="A118" s="42">
        <v>26</v>
      </c>
      <c r="B118" s="7" t="s">
        <v>2</v>
      </c>
      <c r="C118" s="8" t="s">
        <v>1</v>
      </c>
      <c r="D118" s="8" t="s">
        <v>1</v>
      </c>
      <c r="E118" s="8" t="s">
        <v>4</v>
      </c>
      <c r="F118" s="8" t="s">
        <v>3</v>
      </c>
      <c r="G118" s="8" t="s">
        <v>1</v>
      </c>
      <c r="H118" s="8" t="s">
        <v>1</v>
      </c>
      <c r="I118" s="8" t="s">
        <v>1</v>
      </c>
      <c r="J118" s="8" t="s">
        <v>4</v>
      </c>
      <c r="K118" s="8" t="s">
        <v>4</v>
      </c>
      <c r="L118" s="8" t="s">
        <v>2</v>
      </c>
      <c r="M118" s="9" t="s">
        <v>1</v>
      </c>
    </row>
    <row r="119" spans="1:13">
      <c r="A119" s="42">
        <v>27</v>
      </c>
      <c r="B119" s="7" t="s">
        <v>2</v>
      </c>
      <c r="C119" s="8" t="s">
        <v>1</v>
      </c>
      <c r="D119" s="8" t="s">
        <v>1</v>
      </c>
      <c r="E119" s="8" t="s">
        <v>4</v>
      </c>
      <c r="F119" s="8" t="s">
        <v>2</v>
      </c>
      <c r="G119" s="8" t="s">
        <v>1</v>
      </c>
      <c r="H119" s="8" t="s">
        <v>1</v>
      </c>
      <c r="I119" s="8" t="s">
        <v>4</v>
      </c>
      <c r="J119" s="8" t="s">
        <v>4</v>
      </c>
      <c r="K119" s="8" t="s">
        <v>4</v>
      </c>
      <c r="L119" s="8" t="s">
        <v>2</v>
      </c>
      <c r="M119" s="9" t="s">
        <v>1</v>
      </c>
    </row>
    <row r="120" spans="1:13">
      <c r="A120" s="42">
        <v>28</v>
      </c>
      <c r="B120" s="7" t="s">
        <v>2</v>
      </c>
      <c r="C120" s="8" t="s">
        <v>1</v>
      </c>
      <c r="D120" s="8" t="s">
        <v>1</v>
      </c>
      <c r="E120" s="8" t="s">
        <v>4</v>
      </c>
      <c r="F120" s="8" t="s">
        <v>2</v>
      </c>
      <c r="G120" s="8" t="s">
        <v>1</v>
      </c>
      <c r="H120" s="8" t="s">
        <v>1</v>
      </c>
      <c r="I120" s="8" t="s">
        <v>4</v>
      </c>
      <c r="J120" s="8" t="s">
        <v>4</v>
      </c>
      <c r="K120" s="8" t="s">
        <v>4</v>
      </c>
      <c r="L120" s="8" t="s">
        <v>2</v>
      </c>
      <c r="M120" s="9" t="s">
        <v>1</v>
      </c>
    </row>
    <row r="121" spans="1:13">
      <c r="A121" s="42">
        <v>29</v>
      </c>
      <c r="B121" s="7" t="s">
        <v>2</v>
      </c>
      <c r="C121" s="8"/>
      <c r="D121" s="8" t="s">
        <v>51</v>
      </c>
      <c r="E121" s="8" t="s">
        <v>4</v>
      </c>
      <c r="F121" s="8" t="s">
        <v>1</v>
      </c>
      <c r="G121" s="8" t="s">
        <v>1</v>
      </c>
      <c r="H121" s="8" t="s">
        <v>1</v>
      </c>
      <c r="I121" s="8" t="s">
        <v>4</v>
      </c>
      <c r="J121" s="8" t="s">
        <v>4</v>
      </c>
      <c r="K121" s="8" t="s">
        <v>4</v>
      </c>
      <c r="L121" s="8" t="s">
        <v>2</v>
      </c>
      <c r="M121" s="9" t="s">
        <v>1</v>
      </c>
    </row>
    <row r="122" spans="1:13">
      <c r="A122" s="42">
        <v>30</v>
      </c>
      <c r="B122" s="7" t="s">
        <v>2</v>
      </c>
      <c r="C122" s="8"/>
      <c r="D122" s="8" t="s">
        <v>51</v>
      </c>
      <c r="E122" s="8" t="s">
        <v>4</v>
      </c>
      <c r="F122" s="8" t="s">
        <v>1</v>
      </c>
      <c r="G122" s="8" t="s">
        <v>1</v>
      </c>
      <c r="H122" s="8" t="s">
        <v>1</v>
      </c>
      <c r="I122" s="8" t="s">
        <v>4</v>
      </c>
      <c r="J122" s="8" t="s">
        <v>4</v>
      </c>
      <c r="K122" s="8" t="s">
        <v>4</v>
      </c>
      <c r="L122" s="8" t="s">
        <v>2</v>
      </c>
      <c r="M122" s="9" t="s">
        <v>1</v>
      </c>
    </row>
    <row r="123" spans="1:13">
      <c r="A123" s="43">
        <v>31</v>
      </c>
      <c r="B123" s="10" t="s">
        <v>2</v>
      </c>
      <c r="C123" s="11"/>
      <c r="D123" s="11" t="s">
        <v>51</v>
      </c>
      <c r="E123" s="11"/>
      <c r="F123" s="11" t="s">
        <v>2</v>
      </c>
      <c r="G123" s="11"/>
      <c r="H123" s="11" t="s">
        <v>1</v>
      </c>
      <c r="I123" s="11" t="s">
        <v>4</v>
      </c>
      <c r="J123" s="11"/>
      <c r="K123" s="11" t="s">
        <v>4</v>
      </c>
      <c r="L123" s="11"/>
      <c r="M123" s="12" t="s">
        <v>1</v>
      </c>
    </row>
    <row r="125" spans="1:13" ht="15.75">
      <c r="A125" s="72" t="s">
        <v>29</v>
      </c>
      <c r="B125" s="72"/>
      <c r="C125" s="72"/>
      <c r="D125" s="72"/>
      <c r="E125" s="72"/>
      <c r="F125" s="72"/>
      <c r="G125" s="72"/>
      <c r="H125" s="72"/>
      <c r="I125" s="72"/>
      <c r="J125" s="72"/>
      <c r="K125" s="72"/>
      <c r="L125" s="72"/>
      <c r="M125" s="72"/>
    </row>
    <row r="126" spans="1:13">
      <c r="B126" s="57" t="s">
        <v>17</v>
      </c>
      <c r="C126" s="58" t="s">
        <v>18</v>
      </c>
      <c r="D126" s="58" t="s">
        <v>19</v>
      </c>
      <c r="E126" s="58" t="s">
        <v>20</v>
      </c>
      <c r="F126" s="58" t="s">
        <v>21</v>
      </c>
      <c r="G126" s="58" t="s">
        <v>22</v>
      </c>
      <c r="H126" s="58" t="s">
        <v>23</v>
      </c>
      <c r="I126" s="58" t="s">
        <v>24</v>
      </c>
      <c r="J126" s="58" t="s">
        <v>25</v>
      </c>
      <c r="K126" s="58" t="s">
        <v>26</v>
      </c>
      <c r="L126" s="58" t="s">
        <v>27</v>
      </c>
      <c r="M126" s="59" t="s">
        <v>28</v>
      </c>
    </row>
    <row r="127" spans="1:13">
      <c r="A127" s="41" t="s">
        <v>3</v>
      </c>
      <c r="B127" s="4">
        <f>COUNTIF($B$92:$B$123,"Anchor")</f>
        <v>1</v>
      </c>
      <c r="C127" s="5">
        <f>COUNTIF($C$92:$C$123,"Anchor")</f>
        <v>0</v>
      </c>
      <c r="D127" s="5">
        <f>COUNTIF($D$92:$D$123,"Anchor")</f>
        <v>0</v>
      </c>
      <c r="E127" s="5">
        <f>COUNTIF($E$92:$E$123,"Anchor")</f>
        <v>0</v>
      </c>
      <c r="F127" s="5">
        <f>COUNTIF($F$92:$F$123,"Anchor")</f>
        <v>7</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2" t="s">
        <v>1</v>
      </c>
      <c r="B128" s="7">
        <f>COUNTIF($B$92:$B$123,"At Sea")</f>
        <v>8</v>
      </c>
      <c r="C128" s="8">
        <f>COUNTIF($C$92:$C$123,"At Sea")</f>
        <v>17</v>
      </c>
      <c r="D128" s="8">
        <f>COUNTIF($D$92:$D$123,"At Sea")</f>
        <v>17</v>
      </c>
      <c r="E128" s="8">
        <f>COUNTIF($E$92:$E$123,"At Sea")</f>
        <v>15</v>
      </c>
      <c r="F128" s="8">
        <f>COUNTIF($F$92:$F$123,"At Sea")</f>
        <v>15</v>
      </c>
      <c r="G128" s="8">
        <f>COUNTIF($G$92:$G$123,"At Sea")</f>
        <v>7</v>
      </c>
      <c r="H128" s="8">
        <f>COUNTIF($H$92:$H$123,"At Sea")</f>
        <v>31</v>
      </c>
      <c r="I128" s="8">
        <f>COUNTIF($I$92:$I$123,"At Sea")</f>
        <v>23</v>
      </c>
      <c r="J128" s="8">
        <f>COUNTIF($J$92:$J$123,"At Sea")</f>
        <v>0</v>
      </c>
      <c r="K128" s="8">
        <f>COUNTIF($K$92:$K$123,"At Sea")</f>
        <v>0</v>
      </c>
      <c r="L128" s="8">
        <f>COUNTIF($L$92:$L$123,"At Sea")</f>
        <v>18</v>
      </c>
      <c r="M128" s="9">
        <f>COUNTIF($M$92:$M$123,"At Sea")</f>
        <v>11</v>
      </c>
    </row>
    <row r="129" spans="1:13">
      <c r="A129" s="42" t="s">
        <v>2</v>
      </c>
      <c r="B129" s="7">
        <f>COUNTIF($B$92:$B$123,"On Dock")</f>
        <v>20</v>
      </c>
      <c r="C129" s="8">
        <f>COUNTIF($C$92:$C$123,"On Dock")</f>
        <v>11</v>
      </c>
      <c r="D129" s="8">
        <f>COUNTIF($D$92:$D$123,"On Dock")</f>
        <v>11</v>
      </c>
      <c r="E129" s="8">
        <f>COUNTIF($E$92:$E$123,"On Dock")</f>
        <v>0</v>
      </c>
      <c r="F129" s="8">
        <f>COUNTIF($F$92:$F$123,"On Dock")</f>
        <v>3</v>
      </c>
      <c r="G129" s="8">
        <f>COUNTIF($G$92:$G$123,"On Dock")</f>
        <v>23</v>
      </c>
      <c r="H129" s="8">
        <f>COUNTIF($H$92:$H$123,"On Dock")</f>
        <v>0</v>
      </c>
      <c r="I129" s="8">
        <f>COUNTIF($I$92:$I$123,"On Dock")</f>
        <v>0</v>
      </c>
      <c r="J129" s="8">
        <f>COUNTIF($J$92:$J$123,"On Dock")</f>
        <v>0</v>
      </c>
      <c r="K129" s="8">
        <f>COUNTIF($K$92:$K$123,"On Dock")</f>
        <v>0</v>
      </c>
      <c r="L129" s="8">
        <f>COUNTIF($L$92:$L$123,"On Dock")</f>
        <v>7</v>
      </c>
      <c r="M129" s="9">
        <f>COUNTIF($M$92:$M$123,"On Dock")</f>
        <v>20</v>
      </c>
    </row>
    <row r="130" spans="1:13">
      <c r="A130" s="42" t="s">
        <v>51</v>
      </c>
      <c r="B130" s="7">
        <f>COUNTIF($B$92:$B$123,"Standby")</f>
        <v>0</v>
      </c>
      <c r="C130" s="8">
        <f>COUNTIF($C$92:$C$123,"Standby")</f>
        <v>0</v>
      </c>
      <c r="D130" s="8">
        <f>COUNTIF($D$92:$D$123,"Standby")</f>
        <v>3</v>
      </c>
      <c r="E130" s="8">
        <f>COUNTIF($E$92:$E$123,"Standby")</f>
        <v>1</v>
      </c>
      <c r="F130" s="8">
        <f>COUNTIF($F$92:$F$123,"Standby")</f>
        <v>0</v>
      </c>
      <c r="G130" s="8">
        <f>COUNTIF($G$92:$G$123,"Standby")</f>
        <v>0</v>
      </c>
      <c r="H130" s="8">
        <f>COUNTIF($H$92:$H$123,"Standby")</f>
        <v>0</v>
      </c>
      <c r="I130" s="8">
        <f>COUNTIF($I$92:$I$123,"Standby")</f>
        <v>3</v>
      </c>
      <c r="J130" s="8">
        <f>COUNTIF($J$92:$J$123,"Standby")</f>
        <v>0</v>
      </c>
      <c r="K130" s="8">
        <f>COUNTIF($K$92:$K$123,"Standby")</f>
        <v>0</v>
      </c>
      <c r="L130" s="8">
        <f>COUNTIF($L$92:$L$123,"Standby")</f>
        <v>1</v>
      </c>
      <c r="M130" s="9">
        <f>COUNTIF($M$92:$M$123,"Standby")</f>
        <v>0</v>
      </c>
    </row>
    <row r="131" spans="1:13">
      <c r="A131" s="42" t="s">
        <v>4</v>
      </c>
      <c r="B131" s="7">
        <f>COUNTIF($B$92:$B$123,"Yard")</f>
        <v>0</v>
      </c>
      <c r="C131" s="8">
        <f>COUNTIF($C$92:$C$123,"Yard")</f>
        <v>0</v>
      </c>
      <c r="D131" s="8">
        <f>COUNTIF($D$92:$D$123,"Yard")</f>
        <v>0</v>
      </c>
      <c r="E131" s="8">
        <f>COUNTIF($E$92:$E$123,"Yard")</f>
        <v>14</v>
      </c>
      <c r="F131" s="8">
        <f>COUNTIF($F$92:$F$123,"Yard")</f>
        <v>6</v>
      </c>
      <c r="G131" s="8">
        <f>COUNTIF($G$92:$G$123,"Yard")</f>
        <v>0</v>
      </c>
      <c r="H131" s="8">
        <f>COUNTIF($H$92:$H$123,"Yard")</f>
        <v>0</v>
      </c>
      <c r="I131" s="8">
        <f>COUNTIF($I$92:$I$123,"Yard")</f>
        <v>5</v>
      </c>
      <c r="J131" s="8">
        <f>COUNTIF($J$92:$J$123,"Yard")</f>
        <v>30</v>
      </c>
      <c r="K131" s="8">
        <f>COUNTIF($K$92:$K$123,"Yard")</f>
        <v>31</v>
      </c>
      <c r="L131" s="8">
        <f>COUNTIF($L$92:$L$123,"Yard")</f>
        <v>4</v>
      </c>
      <c r="M131" s="9">
        <f>COUNTIF($M$92:$M$123,"Yard")</f>
        <v>0</v>
      </c>
    </row>
    <row r="132" spans="1:13">
      <c r="A132" s="42"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2"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3"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8"/>
  <sheetViews>
    <sheetView showGridLines="0" view="pageLayout" topLeftCell="A43" zoomScaleNormal="100" workbookViewId="0">
      <selection activeCell="I94" sqref="I94"/>
    </sheetView>
  </sheetViews>
  <sheetFormatPr defaultRowHeight="15"/>
  <cols>
    <col min="1" max="1" width="6.7109375" style="3" customWidth="1"/>
    <col min="2" max="13" width="7.28515625" style="3" customWidth="1"/>
  </cols>
  <sheetData>
    <row r="1" spans="1:13" ht="21.75" thickBot="1">
      <c r="A1" s="69" t="s">
        <v>38</v>
      </c>
      <c r="B1" s="70"/>
      <c r="C1" s="70"/>
      <c r="D1" s="70"/>
      <c r="E1" s="70"/>
      <c r="F1" s="70"/>
      <c r="G1" s="70"/>
      <c r="H1" s="70"/>
      <c r="I1" s="70"/>
      <c r="J1" s="70"/>
      <c r="K1" s="70"/>
      <c r="L1" s="70"/>
      <c r="M1" s="71"/>
    </row>
    <row r="3" spans="1:13">
      <c r="B3" s="57" t="s">
        <v>17</v>
      </c>
      <c r="C3" s="58" t="s">
        <v>18</v>
      </c>
      <c r="D3" s="58" t="s">
        <v>19</v>
      </c>
      <c r="E3" s="58" t="s">
        <v>20</v>
      </c>
      <c r="F3" s="58" t="s">
        <v>21</v>
      </c>
      <c r="G3" s="58" t="s">
        <v>22</v>
      </c>
      <c r="H3" s="58" t="s">
        <v>23</v>
      </c>
      <c r="I3" s="58" t="s">
        <v>24</v>
      </c>
      <c r="J3" s="58" t="s">
        <v>25</v>
      </c>
      <c r="K3" s="58" t="s">
        <v>26</v>
      </c>
      <c r="L3" s="58" t="s">
        <v>27</v>
      </c>
      <c r="M3" s="59" t="s">
        <v>28</v>
      </c>
    </row>
    <row r="4" spans="1:13">
      <c r="A4" s="41">
        <v>1</v>
      </c>
      <c r="B4" s="4"/>
      <c r="C4" s="5"/>
      <c r="D4" s="5"/>
      <c r="E4" s="5"/>
      <c r="F4" s="5"/>
      <c r="G4" s="5"/>
      <c r="H4" s="5"/>
      <c r="I4" s="5"/>
      <c r="J4" s="5"/>
      <c r="K4" s="5" t="s">
        <v>4</v>
      </c>
      <c r="L4" s="5" t="s">
        <v>4</v>
      </c>
      <c r="M4" s="6" t="s">
        <v>4</v>
      </c>
    </row>
    <row r="5" spans="1:13">
      <c r="A5" s="42">
        <v>2</v>
      </c>
      <c r="B5" s="7"/>
      <c r="C5" s="8"/>
      <c r="D5" s="8"/>
      <c r="E5" s="8"/>
      <c r="F5" s="8"/>
      <c r="G5" s="8"/>
      <c r="H5" s="8"/>
      <c r="I5" s="8"/>
      <c r="J5" s="8"/>
      <c r="K5" s="8" t="s">
        <v>4</v>
      </c>
      <c r="L5" s="8" t="s">
        <v>4</v>
      </c>
      <c r="M5" s="9" t="s">
        <v>4</v>
      </c>
    </row>
    <row r="6" spans="1:13">
      <c r="A6" s="42">
        <v>3</v>
      </c>
      <c r="B6" s="7"/>
      <c r="C6" s="8"/>
      <c r="D6" s="8"/>
      <c r="E6" s="8"/>
      <c r="F6" s="8"/>
      <c r="G6" s="8"/>
      <c r="H6" s="8"/>
      <c r="I6" s="8"/>
      <c r="J6" s="8"/>
      <c r="K6" s="8" t="s">
        <v>4</v>
      </c>
      <c r="L6" s="8" t="s">
        <v>4</v>
      </c>
      <c r="M6" s="9" t="s">
        <v>4</v>
      </c>
    </row>
    <row r="7" spans="1:13">
      <c r="A7" s="42">
        <v>4</v>
      </c>
      <c r="B7" s="7"/>
      <c r="C7" s="8"/>
      <c r="D7" s="8"/>
      <c r="E7" s="8"/>
      <c r="F7" s="8"/>
      <c r="G7" s="8"/>
      <c r="H7" s="8"/>
      <c r="I7" s="8"/>
      <c r="J7" s="8"/>
      <c r="K7" s="8" t="s">
        <v>4</v>
      </c>
      <c r="L7" s="8" t="s">
        <v>4</v>
      </c>
      <c r="M7" s="9" t="s">
        <v>4</v>
      </c>
    </row>
    <row r="8" spans="1:13">
      <c r="A8" s="42">
        <v>5</v>
      </c>
      <c r="B8" s="7"/>
      <c r="C8" s="8"/>
      <c r="D8" s="8"/>
      <c r="E8" s="8"/>
      <c r="F8" s="8"/>
      <c r="G8" s="8"/>
      <c r="H8" s="8"/>
      <c r="I8" s="8"/>
      <c r="J8" s="8"/>
      <c r="K8" s="8" t="s">
        <v>4</v>
      </c>
      <c r="L8" s="8" t="s">
        <v>4</v>
      </c>
      <c r="M8" s="9" t="s">
        <v>4</v>
      </c>
    </row>
    <row r="9" spans="1:13">
      <c r="A9" s="42">
        <v>6</v>
      </c>
      <c r="B9" s="7"/>
      <c r="C9" s="8"/>
      <c r="D9" s="8"/>
      <c r="E9" s="8"/>
      <c r="F9" s="8"/>
      <c r="G9" s="8"/>
      <c r="H9" s="8"/>
      <c r="I9" s="8"/>
      <c r="J9" s="8"/>
      <c r="K9" s="8" t="s">
        <v>4</v>
      </c>
      <c r="L9" s="8" t="s">
        <v>4</v>
      </c>
      <c r="M9" s="9" t="s">
        <v>4</v>
      </c>
    </row>
    <row r="10" spans="1:13">
      <c r="A10" s="42">
        <v>7</v>
      </c>
      <c r="B10" s="7"/>
      <c r="C10" s="8"/>
      <c r="D10" s="8"/>
      <c r="E10" s="8"/>
      <c r="F10" s="8"/>
      <c r="G10" s="8"/>
      <c r="H10" s="8"/>
      <c r="I10" s="8"/>
      <c r="J10" s="8"/>
      <c r="K10" s="8" t="s">
        <v>4</v>
      </c>
      <c r="L10" s="8" t="s">
        <v>4</v>
      </c>
      <c r="M10" s="9" t="s">
        <v>4</v>
      </c>
    </row>
    <row r="11" spans="1:13">
      <c r="A11" s="42">
        <v>8</v>
      </c>
      <c r="B11" s="7"/>
      <c r="C11" s="8"/>
      <c r="D11" s="8"/>
      <c r="E11" s="8"/>
      <c r="F11" s="8"/>
      <c r="G11" s="8"/>
      <c r="H11" s="8"/>
      <c r="I11" s="8"/>
      <c r="J11" s="8"/>
      <c r="K11" s="8" t="s">
        <v>4</v>
      </c>
      <c r="L11" s="8" t="s">
        <v>4</v>
      </c>
      <c r="M11" s="9" t="s">
        <v>4</v>
      </c>
    </row>
    <row r="12" spans="1:13">
      <c r="A12" s="42">
        <v>9</v>
      </c>
      <c r="B12" s="7"/>
      <c r="C12" s="8"/>
      <c r="D12" s="8"/>
      <c r="E12" s="8"/>
      <c r="F12" s="8"/>
      <c r="G12" s="8"/>
      <c r="H12" s="8"/>
      <c r="I12" s="8"/>
      <c r="J12" s="8"/>
      <c r="K12" s="8" t="s">
        <v>4</v>
      </c>
      <c r="L12" s="8" t="s">
        <v>4</v>
      </c>
      <c r="M12" s="9" t="s">
        <v>4</v>
      </c>
    </row>
    <row r="13" spans="1:13">
      <c r="A13" s="42">
        <v>10</v>
      </c>
      <c r="B13" s="7"/>
      <c r="C13" s="8"/>
      <c r="D13" s="8"/>
      <c r="E13" s="8"/>
      <c r="F13" s="8"/>
      <c r="G13" s="8"/>
      <c r="H13" s="8"/>
      <c r="I13" s="8"/>
      <c r="J13" s="8"/>
      <c r="K13" s="8" t="s">
        <v>4</v>
      </c>
      <c r="L13" s="8" t="s">
        <v>4</v>
      </c>
      <c r="M13" s="9" t="s">
        <v>4</v>
      </c>
    </row>
    <row r="14" spans="1:13">
      <c r="A14" s="42">
        <v>11</v>
      </c>
      <c r="B14" s="7"/>
      <c r="C14" s="8"/>
      <c r="D14" s="8"/>
      <c r="E14" s="8"/>
      <c r="F14" s="8"/>
      <c r="G14" s="8"/>
      <c r="H14" s="8"/>
      <c r="I14" s="8"/>
      <c r="J14" s="8"/>
      <c r="K14" s="8" t="s">
        <v>4</v>
      </c>
      <c r="L14" s="8" t="s">
        <v>4</v>
      </c>
      <c r="M14" s="9" t="s">
        <v>4</v>
      </c>
    </row>
    <row r="15" spans="1:13">
      <c r="A15" s="42">
        <v>12</v>
      </c>
      <c r="B15" s="7"/>
      <c r="C15" s="8"/>
      <c r="D15" s="8"/>
      <c r="E15" s="8"/>
      <c r="F15" s="8"/>
      <c r="G15" s="8"/>
      <c r="H15" s="8"/>
      <c r="I15" s="8"/>
      <c r="J15" s="8"/>
      <c r="K15" s="8" t="s">
        <v>4</v>
      </c>
      <c r="L15" s="8" t="s">
        <v>4</v>
      </c>
      <c r="M15" s="9" t="s">
        <v>4</v>
      </c>
    </row>
    <row r="16" spans="1:13">
      <c r="A16" s="42">
        <v>13</v>
      </c>
      <c r="B16" s="7"/>
      <c r="C16" s="8"/>
      <c r="D16" s="8"/>
      <c r="E16" s="8"/>
      <c r="F16" s="8"/>
      <c r="G16" s="8"/>
      <c r="H16" s="8"/>
      <c r="I16" s="8"/>
      <c r="J16" s="8"/>
      <c r="K16" s="8" t="s">
        <v>4</v>
      </c>
      <c r="L16" s="8" t="s">
        <v>4</v>
      </c>
      <c r="M16" s="9" t="s">
        <v>4</v>
      </c>
    </row>
    <row r="17" spans="1:13">
      <c r="A17" s="42">
        <v>14</v>
      </c>
      <c r="B17" s="7"/>
      <c r="C17" s="8"/>
      <c r="D17" s="8"/>
      <c r="E17" s="8"/>
      <c r="F17" s="8"/>
      <c r="G17" s="8"/>
      <c r="H17" s="8"/>
      <c r="I17" s="8"/>
      <c r="J17" s="8"/>
      <c r="K17" s="8" t="s">
        <v>4</v>
      </c>
      <c r="L17" s="8" t="s">
        <v>4</v>
      </c>
      <c r="M17" s="9" t="s">
        <v>4</v>
      </c>
    </row>
    <row r="18" spans="1:13">
      <c r="A18" s="42">
        <v>15</v>
      </c>
      <c r="B18" s="7"/>
      <c r="C18" s="8"/>
      <c r="D18" s="8"/>
      <c r="E18" s="8"/>
      <c r="F18" s="8"/>
      <c r="G18" s="8"/>
      <c r="H18" s="8"/>
      <c r="I18" s="8"/>
      <c r="J18" s="8"/>
      <c r="K18" s="8" t="s">
        <v>4</v>
      </c>
      <c r="L18" s="8" t="s">
        <v>4</v>
      </c>
      <c r="M18" s="9" t="s">
        <v>4</v>
      </c>
    </row>
    <row r="19" spans="1:13">
      <c r="A19" s="42">
        <v>16</v>
      </c>
      <c r="B19" s="7"/>
      <c r="C19" s="8"/>
      <c r="D19" s="8"/>
      <c r="E19" s="8"/>
      <c r="F19" s="8"/>
      <c r="G19" s="8"/>
      <c r="H19" s="8"/>
      <c r="I19" s="8"/>
      <c r="J19" s="8"/>
      <c r="K19" s="8" t="s">
        <v>4</v>
      </c>
      <c r="L19" s="8" t="s">
        <v>4</v>
      </c>
      <c r="M19" s="9" t="s">
        <v>4</v>
      </c>
    </row>
    <row r="20" spans="1:13">
      <c r="A20" s="42">
        <v>17</v>
      </c>
      <c r="B20" s="7"/>
      <c r="C20" s="8"/>
      <c r="D20" s="8"/>
      <c r="E20" s="8"/>
      <c r="F20" s="8"/>
      <c r="G20" s="8"/>
      <c r="H20" s="8"/>
      <c r="I20" s="8"/>
      <c r="J20" s="8"/>
      <c r="K20" s="8" t="s">
        <v>4</v>
      </c>
      <c r="L20" s="8" t="s">
        <v>4</v>
      </c>
      <c r="M20" s="9" t="s">
        <v>4</v>
      </c>
    </row>
    <row r="21" spans="1:13">
      <c r="A21" s="42">
        <v>18</v>
      </c>
      <c r="B21" s="7"/>
      <c r="C21" s="8"/>
      <c r="D21" s="8"/>
      <c r="E21" s="8"/>
      <c r="F21" s="8"/>
      <c r="G21" s="8"/>
      <c r="H21" s="8"/>
      <c r="I21" s="8"/>
      <c r="J21" s="8"/>
      <c r="K21" s="8" t="s">
        <v>4</v>
      </c>
      <c r="L21" s="8" t="s">
        <v>4</v>
      </c>
      <c r="M21" s="9" t="s">
        <v>4</v>
      </c>
    </row>
    <row r="22" spans="1:13">
      <c r="A22" s="42">
        <v>19</v>
      </c>
      <c r="B22" s="7"/>
      <c r="C22" s="8"/>
      <c r="D22" s="8"/>
      <c r="E22" s="8"/>
      <c r="F22" s="8"/>
      <c r="G22" s="8"/>
      <c r="H22" s="8"/>
      <c r="I22" s="8"/>
      <c r="J22" s="8"/>
      <c r="K22" s="8" t="s">
        <v>4</v>
      </c>
      <c r="L22" s="8" t="s">
        <v>4</v>
      </c>
      <c r="M22" s="9" t="s">
        <v>4</v>
      </c>
    </row>
    <row r="23" spans="1:13">
      <c r="A23" s="42">
        <v>20</v>
      </c>
      <c r="B23" s="7"/>
      <c r="C23" s="8"/>
      <c r="D23" s="8"/>
      <c r="E23" s="8"/>
      <c r="F23" s="8"/>
      <c r="G23" s="8"/>
      <c r="H23" s="8"/>
      <c r="I23" s="8"/>
      <c r="J23" s="8"/>
      <c r="K23" s="8" t="s">
        <v>4</v>
      </c>
      <c r="L23" s="8" t="s">
        <v>4</v>
      </c>
      <c r="M23" s="9" t="s">
        <v>4</v>
      </c>
    </row>
    <row r="24" spans="1:13">
      <c r="A24" s="42">
        <v>21</v>
      </c>
      <c r="B24" s="7"/>
      <c r="C24" s="8"/>
      <c r="D24" s="8"/>
      <c r="E24" s="8"/>
      <c r="F24" s="8"/>
      <c r="G24" s="8"/>
      <c r="H24" s="8"/>
      <c r="I24" s="8"/>
      <c r="J24" s="8"/>
      <c r="K24" s="8" t="s">
        <v>4</v>
      </c>
      <c r="L24" s="8" t="s">
        <v>4</v>
      </c>
      <c r="M24" s="9" t="s">
        <v>4</v>
      </c>
    </row>
    <row r="25" spans="1:13">
      <c r="A25" s="42">
        <v>22</v>
      </c>
      <c r="B25" s="7"/>
      <c r="C25" s="8"/>
      <c r="D25" s="8"/>
      <c r="E25" s="8"/>
      <c r="F25" s="8"/>
      <c r="G25" s="8"/>
      <c r="H25" s="8"/>
      <c r="I25" s="8"/>
      <c r="J25" s="8"/>
      <c r="K25" s="8" t="s">
        <v>4</v>
      </c>
      <c r="L25" s="8" t="s">
        <v>4</v>
      </c>
      <c r="M25" s="9" t="s">
        <v>4</v>
      </c>
    </row>
    <row r="26" spans="1:13">
      <c r="A26" s="42">
        <v>23</v>
      </c>
      <c r="B26" s="7"/>
      <c r="C26" s="8"/>
      <c r="D26" s="8"/>
      <c r="E26" s="8"/>
      <c r="F26" s="8"/>
      <c r="G26" s="8"/>
      <c r="H26" s="8"/>
      <c r="I26" s="8"/>
      <c r="J26" s="8"/>
      <c r="K26" s="8" t="s">
        <v>4</v>
      </c>
      <c r="L26" s="8" t="s">
        <v>4</v>
      </c>
      <c r="M26" s="9" t="s">
        <v>1</v>
      </c>
    </row>
    <row r="27" spans="1:13">
      <c r="A27" s="42">
        <v>24</v>
      </c>
      <c r="B27" s="7"/>
      <c r="C27" s="8"/>
      <c r="D27" s="8"/>
      <c r="E27" s="8"/>
      <c r="F27" s="8"/>
      <c r="G27" s="8"/>
      <c r="H27" s="8"/>
      <c r="I27" s="8"/>
      <c r="J27" s="8"/>
      <c r="K27" s="8" t="s">
        <v>4</v>
      </c>
      <c r="L27" s="8" t="s">
        <v>4</v>
      </c>
      <c r="M27" s="9" t="s">
        <v>1</v>
      </c>
    </row>
    <row r="28" spans="1:13">
      <c r="A28" s="42">
        <v>25</v>
      </c>
      <c r="B28" s="7"/>
      <c r="C28" s="8"/>
      <c r="D28" s="8"/>
      <c r="E28" s="8"/>
      <c r="F28" s="8"/>
      <c r="G28" s="8"/>
      <c r="H28" s="8"/>
      <c r="I28" s="8"/>
      <c r="J28" s="8"/>
      <c r="K28" s="8" t="s">
        <v>4</v>
      </c>
      <c r="L28" s="8" t="s">
        <v>4</v>
      </c>
      <c r="M28" s="9" t="s">
        <v>1</v>
      </c>
    </row>
    <row r="29" spans="1:13">
      <c r="A29" s="42">
        <v>26</v>
      </c>
      <c r="B29" s="7"/>
      <c r="C29" s="8"/>
      <c r="D29" s="8"/>
      <c r="E29" s="8"/>
      <c r="F29" s="8"/>
      <c r="G29" s="8"/>
      <c r="H29" s="8"/>
      <c r="I29" s="8"/>
      <c r="J29" s="8"/>
      <c r="K29" s="8" t="s">
        <v>4</v>
      </c>
      <c r="L29" s="8" t="s">
        <v>4</v>
      </c>
      <c r="M29" s="9" t="s">
        <v>1</v>
      </c>
    </row>
    <row r="30" spans="1:13">
      <c r="A30" s="42">
        <v>27</v>
      </c>
      <c r="B30" s="7"/>
      <c r="C30" s="8"/>
      <c r="D30" s="8"/>
      <c r="E30" s="8"/>
      <c r="F30" s="8"/>
      <c r="G30" s="8"/>
      <c r="H30" s="8"/>
      <c r="I30" s="8"/>
      <c r="J30" s="8"/>
      <c r="K30" s="8" t="s">
        <v>4</v>
      </c>
      <c r="L30" s="8" t="s">
        <v>4</v>
      </c>
      <c r="M30" s="9" t="s">
        <v>1</v>
      </c>
    </row>
    <row r="31" spans="1:13">
      <c r="A31" s="42">
        <v>28</v>
      </c>
      <c r="B31" s="7"/>
      <c r="C31" s="8"/>
      <c r="D31" s="8"/>
      <c r="E31" s="8"/>
      <c r="F31" s="8"/>
      <c r="G31" s="8"/>
      <c r="H31" s="8"/>
      <c r="I31" s="8"/>
      <c r="J31" s="8"/>
      <c r="K31" s="8" t="s">
        <v>4</v>
      </c>
      <c r="L31" s="8" t="s">
        <v>4</v>
      </c>
      <c r="M31" s="9" t="s">
        <v>1</v>
      </c>
    </row>
    <row r="32" spans="1:13">
      <c r="A32" s="42">
        <v>29</v>
      </c>
      <c r="B32" s="7"/>
      <c r="C32" s="8"/>
      <c r="D32" s="8"/>
      <c r="E32" s="8"/>
      <c r="F32" s="8"/>
      <c r="G32" s="8"/>
      <c r="H32" s="8"/>
      <c r="I32" s="8"/>
      <c r="J32" s="8"/>
      <c r="K32" s="8" t="s">
        <v>4</v>
      </c>
      <c r="L32" s="8" t="s">
        <v>4</v>
      </c>
      <c r="M32" s="9" t="s">
        <v>1</v>
      </c>
    </row>
    <row r="33" spans="1:13">
      <c r="A33" s="42">
        <v>30</v>
      </c>
      <c r="B33" s="7"/>
      <c r="C33" s="8"/>
      <c r="D33" s="8"/>
      <c r="E33" s="8"/>
      <c r="F33" s="8"/>
      <c r="G33" s="8"/>
      <c r="H33" s="8"/>
      <c r="I33" s="8"/>
      <c r="J33" s="8"/>
      <c r="K33" s="8" t="s">
        <v>4</v>
      </c>
      <c r="L33" s="8" t="s">
        <v>4</v>
      </c>
      <c r="M33" s="9" t="s">
        <v>1</v>
      </c>
    </row>
    <row r="34" spans="1:13">
      <c r="A34" s="43">
        <v>31</v>
      </c>
      <c r="B34" s="10"/>
      <c r="C34" s="11"/>
      <c r="D34" s="11"/>
      <c r="E34" s="11"/>
      <c r="F34" s="11"/>
      <c r="G34" s="11"/>
      <c r="H34" s="11"/>
      <c r="I34" s="11"/>
      <c r="J34" s="11"/>
      <c r="K34" s="11" t="s">
        <v>4</v>
      </c>
      <c r="L34" s="11"/>
      <c r="M34" s="12" t="s">
        <v>1</v>
      </c>
    </row>
    <row r="36" spans="1:13" ht="15.75">
      <c r="A36" s="72" t="s">
        <v>29</v>
      </c>
      <c r="B36" s="72"/>
      <c r="C36" s="72"/>
      <c r="D36" s="72"/>
      <c r="E36" s="72"/>
      <c r="F36" s="72"/>
      <c r="G36" s="72"/>
      <c r="H36" s="72"/>
      <c r="I36" s="72"/>
      <c r="J36" s="72"/>
      <c r="K36" s="72"/>
      <c r="L36" s="72"/>
      <c r="M36" s="72"/>
    </row>
    <row r="37" spans="1:13">
      <c r="B37" s="57" t="s">
        <v>17</v>
      </c>
      <c r="C37" s="58" t="s">
        <v>18</v>
      </c>
      <c r="D37" s="58" t="s">
        <v>19</v>
      </c>
      <c r="E37" s="58" t="s">
        <v>20</v>
      </c>
      <c r="F37" s="58" t="s">
        <v>21</v>
      </c>
      <c r="G37" s="58" t="s">
        <v>22</v>
      </c>
      <c r="H37" s="58" t="s">
        <v>23</v>
      </c>
      <c r="I37" s="58" t="s">
        <v>24</v>
      </c>
      <c r="J37" s="58" t="s">
        <v>25</v>
      </c>
      <c r="K37" s="58" t="s">
        <v>26</v>
      </c>
      <c r="L37" s="58" t="s">
        <v>27</v>
      </c>
      <c r="M37" s="59" t="s">
        <v>28</v>
      </c>
    </row>
    <row r="38" spans="1:13">
      <c r="A38" s="41"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2"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9</v>
      </c>
    </row>
    <row r="40" spans="1:13">
      <c r="A40" s="42"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2"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3"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31</v>
      </c>
      <c r="L42" s="11">
        <f>COUNTIF($L$4:$L$35,"Yard")</f>
        <v>30</v>
      </c>
      <c r="M42" s="12">
        <f>COUNTIF($M$4:$M$35,"Yard")</f>
        <v>22</v>
      </c>
    </row>
    <row r="43" spans="1:13" ht="15.75" thickBot="1"/>
    <row r="44" spans="1:13" ht="18.75" thickBot="1">
      <c r="A44" s="69" t="s">
        <v>34</v>
      </c>
      <c r="B44" s="70"/>
      <c r="C44" s="70"/>
      <c r="D44" s="70"/>
      <c r="E44" s="70"/>
      <c r="F44" s="70"/>
      <c r="G44" s="70"/>
      <c r="H44" s="70"/>
      <c r="I44" s="70"/>
      <c r="J44" s="70"/>
      <c r="K44" s="70"/>
      <c r="L44" s="70"/>
      <c r="M44" s="71"/>
    </row>
    <row r="46" spans="1:13">
      <c r="B46" s="57" t="s">
        <v>17</v>
      </c>
      <c r="C46" s="58" t="s">
        <v>18</v>
      </c>
      <c r="D46" s="58" t="s">
        <v>19</v>
      </c>
      <c r="E46" s="58" t="s">
        <v>20</v>
      </c>
      <c r="F46" s="58" t="s">
        <v>21</v>
      </c>
      <c r="G46" s="58" t="s">
        <v>22</v>
      </c>
      <c r="H46" s="58" t="s">
        <v>23</v>
      </c>
      <c r="I46" s="58" t="s">
        <v>24</v>
      </c>
      <c r="J46" s="58" t="s">
        <v>25</v>
      </c>
      <c r="K46" s="58" t="s">
        <v>26</v>
      </c>
      <c r="L46" s="58" t="s">
        <v>27</v>
      </c>
      <c r="M46" s="59" t="s">
        <v>28</v>
      </c>
    </row>
    <row r="47" spans="1:13">
      <c r="A47" s="41">
        <v>1</v>
      </c>
      <c r="B47" s="4"/>
      <c r="C47" s="5"/>
      <c r="D47" s="5"/>
      <c r="E47" s="5"/>
      <c r="F47" s="5"/>
      <c r="G47" s="5"/>
      <c r="H47" s="5"/>
      <c r="I47" s="5"/>
      <c r="J47" s="5"/>
      <c r="K47" s="5" t="s">
        <v>4</v>
      </c>
      <c r="L47" s="5" t="s">
        <v>4</v>
      </c>
      <c r="M47" s="6" t="s">
        <v>4</v>
      </c>
    </row>
    <row r="48" spans="1:13">
      <c r="A48" s="42">
        <v>2</v>
      </c>
      <c r="B48" s="7"/>
      <c r="C48" s="8"/>
      <c r="D48" s="8"/>
      <c r="E48" s="8"/>
      <c r="F48" s="8"/>
      <c r="G48" s="8"/>
      <c r="H48" s="8"/>
      <c r="I48" s="8"/>
      <c r="J48" s="8"/>
      <c r="K48" s="8" t="s">
        <v>4</v>
      </c>
      <c r="L48" s="8" t="s">
        <v>4</v>
      </c>
      <c r="M48" s="9" t="s">
        <v>4</v>
      </c>
    </row>
    <row r="49" spans="1:13">
      <c r="A49" s="42">
        <v>3</v>
      </c>
      <c r="B49" s="7"/>
      <c r="C49" s="8"/>
      <c r="D49" s="8"/>
      <c r="E49" s="8"/>
      <c r="F49" s="8"/>
      <c r="G49" s="8"/>
      <c r="H49" s="8"/>
      <c r="I49" s="8"/>
      <c r="J49" s="8"/>
      <c r="K49" s="8" t="s">
        <v>4</v>
      </c>
      <c r="L49" s="8" t="s">
        <v>4</v>
      </c>
      <c r="M49" s="9" t="s">
        <v>4</v>
      </c>
    </row>
    <row r="50" spans="1:13">
      <c r="A50" s="42">
        <v>4</v>
      </c>
      <c r="B50" s="7"/>
      <c r="C50" s="8"/>
      <c r="D50" s="8"/>
      <c r="E50" s="8"/>
      <c r="F50" s="8"/>
      <c r="G50" s="8"/>
      <c r="H50" s="8"/>
      <c r="I50" s="8"/>
      <c r="J50" s="8"/>
      <c r="K50" s="8" t="s">
        <v>4</v>
      </c>
      <c r="L50" s="8" t="s">
        <v>4</v>
      </c>
      <c r="M50" s="9" t="s">
        <v>4</v>
      </c>
    </row>
    <row r="51" spans="1:13">
      <c r="A51" s="42">
        <v>5</v>
      </c>
      <c r="B51" s="7"/>
      <c r="C51" s="8"/>
      <c r="D51" s="8"/>
      <c r="E51" s="8"/>
      <c r="F51" s="8"/>
      <c r="G51" s="8"/>
      <c r="H51" s="8"/>
      <c r="I51" s="8"/>
      <c r="J51" s="8"/>
      <c r="K51" s="8" t="s">
        <v>4</v>
      </c>
      <c r="L51" s="8" t="s">
        <v>4</v>
      </c>
      <c r="M51" s="9" t="s">
        <v>4</v>
      </c>
    </row>
    <row r="52" spans="1:13">
      <c r="A52" s="42">
        <v>6</v>
      </c>
      <c r="B52" s="7"/>
      <c r="C52" s="8"/>
      <c r="D52" s="8"/>
      <c r="E52" s="8"/>
      <c r="F52" s="8"/>
      <c r="G52" s="8"/>
      <c r="H52" s="8"/>
      <c r="I52" s="8"/>
      <c r="J52" s="8"/>
      <c r="K52" s="8" t="s">
        <v>4</v>
      </c>
      <c r="L52" s="8" t="s">
        <v>4</v>
      </c>
      <c r="M52" s="9" t="s">
        <v>4</v>
      </c>
    </row>
    <row r="53" spans="1:13">
      <c r="A53" s="42">
        <v>7</v>
      </c>
      <c r="B53" s="7"/>
      <c r="C53" s="8"/>
      <c r="D53" s="8"/>
      <c r="E53" s="8"/>
      <c r="F53" s="8"/>
      <c r="G53" s="8"/>
      <c r="H53" s="8"/>
      <c r="I53" s="8"/>
      <c r="J53" s="8"/>
      <c r="K53" s="8" t="s">
        <v>4</v>
      </c>
      <c r="L53" s="8" t="s">
        <v>4</v>
      </c>
      <c r="M53" s="9" t="s">
        <v>4</v>
      </c>
    </row>
    <row r="54" spans="1:13">
      <c r="A54" s="42">
        <v>8</v>
      </c>
      <c r="B54" s="7"/>
      <c r="C54" s="8"/>
      <c r="D54" s="8"/>
      <c r="E54" s="8"/>
      <c r="F54" s="8"/>
      <c r="G54" s="8"/>
      <c r="H54" s="8"/>
      <c r="I54" s="8"/>
      <c r="J54" s="8"/>
      <c r="K54" s="8" t="s">
        <v>4</v>
      </c>
      <c r="L54" s="8" t="s">
        <v>4</v>
      </c>
      <c r="M54" s="9" t="s">
        <v>4</v>
      </c>
    </row>
    <row r="55" spans="1:13">
      <c r="A55" s="42">
        <v>9</v>
      </c>
      <c r="B55" s="7"/>
      <c r="C55" s="8"/>
      <c r="D55" s="8"/>
      <c r="E55" s="8"/>
      <c r="F55" s="8"/>
      <c r="G55" s="8"/>
      <c r="H55" s="8"/>
      <c r="I55" s="8"/>
      <c r="J55" s="8"/>
      <c r="K55" s="8" t="s">
        <v>4</v>
      </c>
      <c r="L55" s="8" t="s">
        <v>4</v>
      </c>
      <c r="M55" s="9" t="s">
        <v>4</v>
      </c>
    </row>
    <row r="56" spans="1:13">
      <c r="A56" s="42">
        <v>10</v>
      </c>
      <c r="B56" s="7"/>
      <c r="C56" s="8"/>
      <c r="D56" s="8"/>
      <c r="E56" s="8"/>
      <c r="F56" s="8"/>
      <c r="G56" s="8"/>
      <c r="H56" s="8"/>
      <c r="I56" s="8"/>
      <c r="J56" s="8"/>
      <c r="K56" s="8" t="s">
        <v>4</v>
      </c>
      <c r="L56" s="8" t="s">
        <v>4</v>
      </c>
      <c r="M56" s="9" t="s">
        <v>4</v>
      </c>
    </row>
    <row r="57" spans="1:13">
      <c r="A57" s="42">
        <v>11</v>
      </c>
      <c r="B57" s="7"/>
      <c r="C57" s="8"/>
      <c r="D57" s="8"/>
      <c r="E57" s="8"/>
      <c r="F57" s="8"/>
      <c r="G57" s="8"/>
      <c r="H57" s="8"/>
      <c r="I57" s="8"/>
      <c r="J57" s="8"/>
      <c r="K57" s="8" t="s">
        <v>4</v>
      </c>
      <c r="L57" s="8" t="s">
        <v>4</v>
      </c>
      <c r="M57" s="9" t="s">
        <v>4</v>
      </c>
    </row>
    <row r="58" spans="1:13">
      <c r="A58" s="42">
        <v>12</v>
      </c>
      <c r="B58" s="7"/>
      <c r="C58" s="8"/>
      <c r="D58" s="8"/>
      <c r="E58" s="8"/>
      <c r="F58" s="8"/>
      <c r="G58" s="8"/>
      <c r="H58" s="8"/>
      <c r="I58" s="8"/>
      <c r="J58" s="8"/>
      <c r="K58" s="8" t="s">
        <v>4</v>
      </c>
      <c r="L58" s="8" t="s">
        <v>4</v>
      </c>
      <c r="M58" s="9" t="s">
        <v>4</v>
      </c>
    </row>
    <row r="59" spans="1:13">
      <c r="A59" s="42">
        <v>13</v>
      </c>
      <c r="B59" s="7"/>
      <c r="C59" s="8"/>
      <c r="D59" s="8"/>
      <c r="E59" s="8"/>
      <c r="F59" s="8"/>
      <c r="G59" s="8"/>
      <c r="H59" s="8"/>
      <c r="I59" s="8"/>
      <c r="J59" s="8"/>
      <c r="K59" s="8" t="s">
        <v>4</v>
      </c>
      <c r="L59" s="8" t="s">
        <v>4</v>
      </c>
      <c r="M59" s="9" t="s">
        <v>4</v>
      </c>
    </row>
    <row r="60" spans="1:13">
      <c r="A60" s="42">
        <v>14</v>
      </c>
      <c r="B60" s="7"/>
      <c r="C60" s="8"/>
      <c r="D60" s="8"/>
      <c r="E60" s="8"/>
      <c r="F60" s="8"/>
      <c r="G60" s="8"/>
      <c r="H60" s="8"/>
      <c r="I60" s="8"/>
      <c r="J60" s="8"/>
      <c r="K60" s="8" t="s">
        <v>4</v>
      </c>
      <c r="L60" s="8" t="s">
        <v>4</v>
      </c>
      <c r="M60" s="9" t="s">
        <v>4</v>
      </c>
    </row>
    <row r="61" spans="1:13">
      <c r="A61" s="42">
        <v>15</v>
      </c>
      <c r="B61" s="7"/>
      <c r="C61" s="8"/>
      <c r="D61" s="8"/>
      <c r="E61" s="8"/>
      <c r="F61" s="8"/>
      <c r="G61" s="8"/>
      <c r="H61" s="8"/>
      <c r="I61" s="8"/>
      <c r="J61" s="8"/>
      <c r="K61" s="8" t="s">
        <v>4</v>
      </c>
      <c r="L61" s="8" t="s">
        <v>4</v>
      </c>
      <c r="M61" s="9" t="s">
        <v>4</v>
      </c>
    </row>
    <row r="62" spans="1:13">
      <c r="A62" s="42">
        <v>16</v>
      </c>
      <c r="B62" s="7"/>
      <c r="C62" s="8"/>
      <c r="D62" s="8"/>
      <c r="E62" s="8"/>
      <c r="F62" s="8"/>
      <c r="G62" s="8"/>
      <c r="H62" s="8"/>
      <c r="I62" s="8"/>
      <c r="J62" s="8"/>
      <c r="K62" s="8" t="s">
        <v>4</v>
      </c>
      <c r="L62" s="8" t="s">
        <v>4</v>
      </c>
      <c r="M62" s="9" t="s">
        <v>4</v>
      </c>
    </row>
    <row r="63" spans="1:13">
      <c r="A63" s="42">
        <v>17</v>
      </c>
      <c r="B63" s="7"/>
      <c r="C63" s="8"/>
      <c r="D63" s="8"/>
      <c r="E63" s="8"/>
      <c r="F63" s="8"/>
      <c r="G63" s="8"/>
      <c r="H63" s="8"/>
      <c r="I63" s="8"/>
      <c r="J63" s="8"/>
      <c r="K63" s="8" t="s">
        <v>4</v>
      </c>
      <c r="L63" s="8" t="s">
        <v>4</v>
      </c>
      <c r="M63" s="9" t="s">
        <v>4</v>
      </c>
    </row>
    <row r="64" spans="1:13">
      <c r="A64" s="42">
        <v>18</v>
      </c>
      <c r="B64" s="7"/>
      <c r="C64" s="8"/>
      <c r="D64" s="8"/>
      <c r="E64" s="8"/>
      <c r="F64" s="8"/>
      <c r="G64" s="8"/>
      <c r="H64" s="8"/>
      <c r="I64" s="8"/>
      <c r="J64" s="8"/>
      <c r="K64" s="8" t="s">
        <v>4</v>
      </c>
      <c r="L64" s="8" t="s">
        <v>4</v>
      </c>
      <c r="M64" s="9" t="s">
        <v>4</v>
      </c>
    </row>
    <row r="65" spans="1:13">
      <c r="A65" s="42">
        <v>19</v>
      </c>
      <c r="B65" s="7"/>
      <c r="C65" s="8"/>
      <c r="D65" s="8"/>
      <c r="E65" s="8"/>
      <c r="F65" s="8"/>
      <c r="G65" s="8"/>
      <c r="H65" s="8"/>
      <c r="I65" s="8"/>
      <c r="J65" s="8"/>
      <c r="K65" s="8" t="s">
        <v>4</v>
      </c>
      <c r="L65" s="8" t="s">
        <v>4</v>
      </c>
      <c r="M65" s="9" t="s">
        <v>4</v>
      </c>
    </row>
    <row r="66" spans="1:13">
      <c r="A66" s="42">
        <v>20</v>
      </c>
      <c r="B66" s="7"/>
      <c r="C66" s="8"/>
      <c r="D66" s="8"/>
      <c r="E66" s="8"/>
      <c r="F66" s="8"/>
      <c r="G66" s="8"/>
      <c r="H66" s="8"/>
      <c r="I66" s="8"/>
      <c r="J66" s="8"/>
      <c r="K66" s="8" t="s">
        <v>4</v>
      </c>
      <c r="L66" s="8" t="s">
        <v>4</v>
      </c>
      <c r="M66" s="9" t="s">
        <v>4</v>
      </c>
    </row>
    <row r="67" spans="1:13">
      <c r="A67" s="42">
        <v>21</v>
      </c>
      <c r="B67" s="7"/>
      <c r="C67" s="8"/>
      <c r="D67" s="8"/>
      <c r="E67" s="8"/>
      <c r="F67" s="8"/>
      <c r="G67" s="8"/>
      <c r="H67" s="8"/>
      <c r="I67" s="8"/>
      <c r="J67" s="8"/>
      <c r="K67" s="8" t="s">
        <v>4</v>
      </c>
      <c r="L67" s="8" t="s">
        <v>4</v>
      </c>
      <c r="M67" s="9" t="s">
        <v>4</v>
      </c>
    </row>
    <row r="68" spans="1:13">
      <c r="A68" s="42">
        <v>22</v>
      </c>
      <c r="B68" s="7"/>
      <c r="C68" s="8"/>
      <c r="D68" s="8"/>
      <c r="E68" s="8"/>
      <c r="F68" s="8"/>
      <c r="G68" s="8"/>
      <c r="H68" s="8"/>
      <c r="I68" s="8"/>
      <c r="J68" s="8"/>
      <c r="K68" s="8" t="s">
        <v>4</v>
      </c>
      <c r="L68" s="8" t="s">
        <v>4</v>
      </c>
      <c r="M68" s="9" t="s">
        <v>4</v>
      </c>
    </row>
    <row r="69" spans="1:13">
      <c r="A69" s="42">
        <v>23</v>
      </c>
      <c r="B69" s="7"/>
      <c r="C69" s="8"/>
      <c r="D69" s="8"/>
      <c r="E69" s="8"/>
      <c r="F69" s="8"/>
      <c r="G69" s="8"/>
      <c r="H69" s="8"/>
      <c r="I69" s="8"/>
      <c r="J69" s="8"/>
      <c r="K69" s="8" t="s">
        <v>4</v>
      </c>
      <c r="L69" s="8" t="s">
        <v>4</v>
      </c>
      <c r="M69" s="9" t="s">
        <v>1</v>
      </c>
    </row>
    <row r="70" spans="1:13">
      <c r="A70" s="42">
        <v>24</v>
      </c>
      <c r="B70" s="7"/>
      <c r="C70" s="8"/>
      <c r="D70" s="8"/>
      <c r="E70" s="8"/>
      <c r="F70" s="8"/>
      <c r="G70" s="8"/>
      <c r="H70" s="8"/>
      <c r="I70" s="8"/>
      <c r="J70" s="8"/>
      <c r="K70" s="8" t="s">
        <v>4</v>
      </c>
      <c r="L70" s="8" t="s">
        <v>4</v>
      </c>
      <c r="M70" s="9" t="s">
        <v>1</v>
      </c>
    </row>
    <row r="71" spans="1:13">
      <c r="A71" s="42">
        <v>25</v>
      </c>
      <c r="B71" s="7"/>
      <c r="C71" s="8"/>
      <c r="D71" s="8"/>
      <c r="E71" s="8"/>
      <c r="F71" s="8"/>
      <c r="G71" s="8"/>
      <c r="H71" s="8"/>
      <c r="I71" s="8"/>
      <c r="J71" s="8"/>
      <c r="K71" s="8" t="s">
        <v>4</v>
      </c>
      <c r="L71" s="8" t="s">
        <v>4</v>
      </c>
      <c r="M71" s="9" t="s">
        <v>1</v>
      </c>
    </row>
    <row r="72" spans="1:13">
      <c r="A72" s="42">
        <v>26</v>
      </c>
      <c r="B72" s="7"/>
      <c r="C72" s="8"/>
      <c r="D72" s="8"/>
      <c r="E72" s="8"/>
      <c r="F72" s="8"/>
      <c r="G72" s="8"/>
      <c r="H72" s="8"/>
      <c r="I72" s="8"/>
      <c r="J72" s="8"/>
      <c r="K72" s="8" t="s">
        <v>4</v>
      </c>
      <c r="L72" s="8" t="s">
        <v>4</v>
      </c>
      <c r="M72" s="9" t="s">
        <v>1</v>
      </c>
    </row>
    <row r="73" spans="1:13">
      <c r="A73" s="42">
        <v>27</v>
      </c>
      <c r="B73" s="7"/>
      <c r="C73" s="8"/>
      <c r="D73" s="8"/>
      <c r="E73" s="8"/>
      <c r="F73" s="8"/>
      <c r="G73" s="8"/>
      <c r="H73" s="8"/>
      <c r="I73" s="8"/>
      <c r="J73" s="8"/>
      <c r="K73" s="8" t="s">
        <v>4</v>
      </c>
      <c r="L73" s="8" t="s">
        <v>4</v>
      </c>
      <c r="M73" s="9" t="s">
        <v>1</v>
      </c>
    </row>
    <row r="74" spans="1:13">
      <c r="A74" s="42">
        <v>28</v>
      </c>
      <c r="B74" s="7"/>
      <c r="C74" s="8"/>
      <c r="D74" s="8"/>
      <c r="E74" s="8"/>
      <c r="F74" s="8"/>
      <c r="G74" s="8"/>
      <c r="H74" s="8"/>
      <c r="I74" s="8"/>
      <c r="J74" s="8"/>
      <c r="K74" s="8" t="s">
        <v>4</v>
      </c>
      <c r="L74" s="8" t="s">
        <v>4</v>
      </c>
      <c r="M74" s="9" t="s">
        <v>1</v>
      </c>
    </row>
    <row r="75" spans="1:13">
      <c r="A75" s="42">
        <v>29</v>
      </c>
      <c r="B75" s="7"/>
      <c r="C75" s="8"/>
      <c r="D75" s="8"/>
      <c r="E75" s="8"/>
      <c r="F75" s="8"/>
      <c r="G75" s="8"/>
      <c r="H75" s="8"/>
      <c r="I75" s="8"/>
      <c r="J75" s="8"/>
      <c r="K75" s="8" t="s">
        <v>4</v>
      </c>
      <c r="L75" s="8" t="s">
        <v>4</v>
      </c>
      <c r="M75" s="9" t="s">
        <v>1</v>
      </c>
    </row>
    <row r="76" spans="1:13">
      <c r="A76" s="42">
        <v>30</v>
      </c>
      <c r="B76" s="7"/>
      <c r="C76" s="8"/>
      <c r="D76" s="8"/>
      <c r="E76" s="8"/>
      <c r="F76" s="8"/>
      <c r="G76" s="8"/>
      <c r="H76" s="8"/>
      <c r="I76" s="8"/>
      <c r="J76" s="8"/>
      <c r="K76" s="8" t="s">
        <v>4</v>
      </c>
      <c r="L76" s="8" t="s">
        <v>4</v>
      </c>
      <c r="M76" s="9" t="s">
        <v>1</v>
      </c>
    </row>
    <row r="77" spans="1:13">
      <c r="A77" s="43">
        <v>31</v>
      </c>
      <c r="B77" s="10"/>
      <c r="C77" s="11"/>
      <c r="D77" s="11"/>
      <c r="E77" s="11"/>
      <c r="F77" s="11"/>
      <c r="G77" s="11"/>
      <c r="H77" s="11"/>
      <c r="I77" s="11"/>
      <c r="J77" s="11"/>
      <c r="K77" s="11" t="s">
        <v>4</v>
      </c>
      <c r="L77" s="11"/>
      <c r="M77" s="12" t="s">
        <v>1</v>
      </c>
    </row>
    <row r="79" spans="1:13" ht="15.75">
      <c r="A79" s="72" t="s">
        <v>29</v>
      </c>
      <c r="B79" s="72"/>
      <c r="C79" s="72"/>
      <c r="D79" s="72"/>
      <c r="E79" s="72"/>
      <c r="F79" s="72"/>
      <c r="G79" s="72"/>
      <c r="H79" s="72"/>
      <c r="I79" s="72"/>
      <c r="J79" s="72"/>
      <c r="K79" s="72"/>
      <c r="L79" s="72"/>
      <c r="M79" s="72"/>
    </row>
    <row r="80" spans="1:13">
      <c r="B80" s="57" t="s">
        <v>17</v>
      </c>
      <c r="C80" s="58" t="s">
        <v>18</v>
      </c>
      <c r="D80" s="58" t="s">
        <v>19</v>
      </c>
      <c r="E80" s="58" t="s">
        <v>20</v>
      </c>
      <c r="F80" s="58" t="s">
        <v>21</v>
      </c>
      <c r="G80" s="58" t="s">
        <v>22</v>
      </c>
      <c r="H80" s="58" t="s">
        <v>23</v>
      </c>
      <c r="I80" s="58" t="s">
        <v>24</v>
      </c>
      <c r="J80" s="58" t="s">
        <v>25</v>
      </c>
      <c r="K80" s="58" t="s">
        <v>26</v>
      </c>
      <c r="L80" s="58" t="s">
        <v>27</v>
      </c>
      <c r="M80" s="59" t="s">
        <v>28</v>
      </c>
    </row>
    <row r="81" spans="1:13">
      <c r="A81" s="41"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2"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9</v>
      </c>
    </row>
    <row r="83" spans="1:13">
      <c r="A83" s="42"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2"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2"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31</v>
      </c>
      <c r="L85" s="8">
        <f>COUNTIF($L$46:$L$77,"Yard")</f>
        <v>30</v>
      </c>
      <c r="M85" s="9">
        <f>COUNTIF($M$46:$M$77,"Yard")</f>
        <v>22</v>
      </c>
    </row>
    <row r="86" spans="1:13">
      <c r="A86" s="42"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2"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3"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sheetData>
  <protectedRanges>
    <protectedRange sqref="A1" name="ShipName"/>
  </protectedRanges>
  <mergeCells count="4">
    <mergeCell ref="A1:M1"/>
    <mergeCell ref="A36:M36"/>
    <mergeCell ref="A44:M44"/>
    <mergeCell ref="A79:M79"/>
  </mergeCells>
  <pageMargins left="0.43307086614173229" right="0.43307086614173229" top="0.75" bottom="0.75" header="0.3" footer="0.3"/>
  <pageSetup paperSize="9" orientation="portrait" r:id="rId1"/>
  <headerFooter>
    <oddHeader>&amp;L07/03/13&amp;C&amp;B&amp;14Seatime&amp;B</oddHeader>
    <oddFooter>&amp;L&amp;P</oddFooter>
  </headerFooter>
  <rowBreaks count="2" manualBreakCount="2">
    <brk id="43" max="16383" man="1"/>
    <brk id="8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Overview</vt:lpstr>
      <vt:lpstr>Ship Activity</vt:lpstr>
      <vt:lpstr>Crew Leave</vt:lpstr>
      <vt:lpstr>2013 Report</vt:lpstr>
      <vt:lpstr>2010 Report</vt:lpstr>
      <vt:lpstr>2009 Report</vt:lpstr>
      <vt:lpstr>2008 Report</vt:lpstr>
      <vt:lpstr>Crew</vt:lpstr>
      <vt:lpstr>CrewLeaveType</vt:lpstr>
      <vt:lpstr>ShipActivity</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2013-03-07T07:46:16Z</dcterms:modified>
</cp:coreProperties>
</file>